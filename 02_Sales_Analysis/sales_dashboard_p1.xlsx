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defaultThemeVersion="124226"/>
  <mc:AlternateContent xmlns:mc="http://schemas.openxmlformats.org/markup-compatibility/2006">
    <mc:Choice Requires="x15">
      <x15ac:absPath xmlns:x15ac="http://schemas.microsoft.com/office/spreadsheetml/2010/11/ac" url="https://d.docs.live.net/e0f1945ca94a9656/Documents/"/>
    </mc:Choice>
  </mc:AlternateContent>
  <xr:revisionPtr revIDLastSave="0" documentId="8_{E8AE27D2-C038-074C-8668-C0A04162177F}" xr6:coauthVersionLast="47" xr6:coauthVersionMax="47" xr10:uidLastSave="{00000000-0000-0000-0000-000000000000}"/>
  <workbookProtection workbookAlgorithmName="SHA-512" workbookHashValue="PZz2E2awjFNuqiTGT46ozdu3zIPm/JxsBnEjyOuljBBHX8aEFYAvQodaWru8Fn11tWowH9Fg5GmaF/qPzJwlVg==" workbookSaltValue="uopOCusxX/SCATQxb3m6TQ==" workbookSpinCount="100000" lockStructure="1"/>
  <bookViews>
    <workbookView xWindow="0" yWindow="0" windowWidth="28800" windowHeight="18000" activeTab="2" xr2:uid="{00000000-000D-0000-FFFF-FFFF00000000}"/>
  </bookViews>
  <sheets>
    <sheet name="Pivot Tables" sheetId="4" state="hidden" r:id="rId1"/>
    <sheet name="Data" sheetId="1" r:id="rId2"/>
    <sheet name="Dashboard" sheetId="3" r:id="rId3"/>
  </sheets>
  <definedNames>
    <definedName name="Slicer_Category">#N/A</definedName>
    <definedName name="Slicer_Region">#N/A</definedName>
    <definedName name="Slicer_Segment">#N/A</definedName>
  </definedNames>
  <calcPr calcId="191029"/>
  <pivotCaches>
    <pivotCache cacheId="24"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4" i="4" l="1"/>
  <c r="B13" i="4"/>
  <c r="O2" i="3" s="1"/>
  <c r="B12" i="4"/>
  <c r="O1" i="3" s="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O3" i="3" l="1"/>
</calcChain>
</file>

<file path=xl/sharedStrings.xml><?xml version="1.0" encoding="utf-8"?>
<sst xmlns="http://schemas.openxmlformats.org/spreadsheetml/2006/main" count="1077" uniqueCount="253">
  <si>
    <t>Order ID</t>
  </si>
  <si>
    <t>Order Date</t>
  </si>
  <si>
    <t>Region</t>
  </si>
  <si>
    <t>Category</t>
  </si>
  <si>
    <t>Sub-Category</t>
  </si>
  <si>
    <t>Segment</t>
  </si>
  <si>
    <t>Sales</t>
  </si>
  <si>
    <t>Quantity</t>
  </si>
  <si>
    <t>Discount</t>
  </si>
  <si>
    <t>Profit</t>
  </si>
  <si>
    <t>ORD-1000</t>
  </si>
  <si>
    <t>ORD-1001</t>
  </si>
  <si>
    <t>ORD-1002</t>
  </si>
  <si>
    <t>ORD-1003</t>
  </si>
  <si>
    <t>ORD-1004</t>
  </si>
  <si>
    <t>ORD-1005</t>
  </si>
  <si>
    <t>ORD-1006</t>
  </si>
  <si>
    <t>ORD-1007</t>
  </si>
  <si>
    <t>ORD-1008</t>
  </si>
  <si>
    <t>ORD-1009</t>
  </si>
  <si>
    <t>ORD-1010</t>
  </si>
  <si>
    <t>ORD-1011</t>
  </si>
  <si>
    <t>ORD-1012</t>
  </si>
  <si>
    <t>ORD-1013</t>
  </si>
  <si>
    <t>ORD-1014</t>
  </si>
  <si>
    <t>ORD-1015</t>
  </si>
  <si>
    <t>ORD-1016</t>
  </si>
  <si>
    <t>ORD-1017</t>
  </si>
  <si>
    <t>ORD-1018</t>
  </si>
  <si>
    <t>ORD-1019</t>
  </si>
  <si>
    <t>ORD-1020</t>
  </si>
  <si>
    <t>ORD-1021</t>
  </si>
  <si>
    <t>ORD-1022</t>
  </si>
  <si>
    <t>ORD-1023</t>
  </si>
  <si>
    <t>ORD-1024</t>
  </si>
  <si>
    <t>ORD-1025</t>
  </si>
  <si>
    <t>ORD-1026</t>
  </si>
  <si>
    <t>ORD-1027</t>
  </si>
  <si>
    <t>ORD-1028</t>
  </si>
  <si>
    <t>ORD-1029</t>
  </si>
  <si>
    <t>ORD-1030</t>
  </si>
  <si>
    <t>ORD-1031</t>
  </si>
  <si>
    <t>ORD-1032</t>
  </si>
  <si>
    <t>ORD-1033</t>
  </si>
  <si>
    <t>ORD-1034</t>
  </si>
  <si>
    <t>ORD-1035</t>
  </si>
  <si>
    <t>ORD-1036</t>
  </si>
  <si>
    <t>ORD-1037</t>
  </si>
  <si>
    <t>ORD-1038</t>
  </si>
  <si>
    <t>ORD-1039</t>
  </si>
  <si>
    <t>ORD-1040</t>
  </si>
  <si>
    <t>ORD-1041</t>
  </si>
  <si>
    <t>ORD-1042</t>
  </si>
  <si>
    <t>ORD-1043</t>
  </si>
  <si>
    <t>ORD-1044</t>
  </si>
  <si>
    <t>ORD-1045</t>
  </si>
  <si>
    <t>ORD-1046</t>
  </si>
  <si>
    <t>ORD-1047</t>
  </si>
  <si>
    <t>ORD-1048</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</si>
  <si>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</si>
  <si>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</si>
  <si>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</si>
  <si>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</si>
  <si>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</si>
  <si>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</si>
  <si>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</si>
  <si>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</si>
  <si>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</si>
  <si>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</si>
  <si>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</si>
  <si>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</si>
  <si>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</si>
  <si>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</si>
  <si>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</si>
  <si>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</si>
  <si>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</si>
  <si>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</si>
  <si>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</si>
  <si>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</si>
  <si>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</si>
  <si>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</si>
  <si>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</si>
  <si>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</si>
  <si>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</si>
  <si>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</si>
  <si>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</si>
  <si>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</si>
  <si>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</si>
  <si>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</si>
  <si>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</si>
  <si>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</si>
  <si>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</si>
  <si>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</si>
  <si>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</si>
  <si>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</si>
  <si>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</si>
  <si>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</si>
  <si>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</si>
  <si>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</si>
  <si>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</si>
  <si>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</si>
  <si>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</si>
  <si>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</si>
  <si>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</si>
  <si>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</si>
  <si>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</si>
  <si>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</si>
  <si>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</si>
  <si>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</si>
  <si>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</si>
  <si>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</si>
  <si>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</si>
  <si>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</si>
  <si>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</si>
  <si>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</si>
  <si>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</si>
  <si>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</si>
  <si>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</si>
  <si>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</si>
  <si>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</si>
  <si>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</si>
  <si>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</si>
  <si>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</si>
  <si>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</si>
  <si>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</si>
  <si>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</si>
  <si>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</si>
  <si>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</si>
  <si>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</si>
  <si>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</si>
  <si>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</si>
  <si>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</si>
  <si>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</si>
  <si>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</si>
  <si>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</si>
  <si>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</si>
  <si>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</si>
  <si>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</si>
  <si>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</si>
  <si>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</si>
  <si>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</si>
  <si>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</si>
  <si>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</si>
  <si>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</si>
  <si>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</si>
  <si>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</si>
  <si>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</si>
  <si>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</si>
  <si>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</si>
  <si>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</si>
  <si>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</si>
  <si>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</si>
  <si>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</si>
  <si>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</si>
  <si>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</si>
  <si>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</si>
  <si>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</si>
  <si>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</si>
  <si>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</si>
  <si>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</si>
  <si>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</si>
  <si>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</si>
  <si>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</si>
  <si>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</si>
  <si>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</si>
  <si>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</si>
  <si>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</si>
  <si>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</si>
  <si>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</si>
  <si>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</si>
  <si>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</si>
  <si>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</si>
  <si>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</si>
  <si>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</si>
  <si>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</si>
  <si>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</si>
  <si>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</si>
  <si>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</si>
  <si>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</si>
  <si>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</si>
  <si>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</si>
  <si>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</si>
  <si>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</si>
  <si>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</si>
  <si>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</si>
  <si>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</si>
  <si>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</si>
  <si>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</si>
  <si>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</si>
  <si>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</si>
  <si>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</si>
  <si>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</si>
  <si>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</si>
  <si>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</si>
  <si>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</si>
  <si>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</si>
  <si>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</si>
  <si>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</si>
  <si>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</si>
  <si>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</si>
  <si>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</si>
  <si>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</si>
  <si>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</si>
  <si>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</si>
  <si>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</si>
  <si>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</si>
  <si>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</si>
  <si>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</si>
  <si>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</si>
  <si>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</si>
  <si>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West</t>
  </si>
  <si>
    <t>Midwest</t>
  </si>
  <si>
    <t>Northeast</t>
  </si>
  <si>
    <t>South</t>
  </si>
  <si>
    <t>Furniture</t>
  </si>
  <si>
    <t>Office Supplies</t>
  </si>
  <si>
    <t>Technology</t>
  </si>
  <si>
    <t>Bookcases</t>
  </si>
  <si>
    <t>Paper</t>
  </si>
  <si>
    <t>Storage</t>
  </si>
  <si>
    <t>Accessories</t>
  </si>
  <si>
    <t>Binders</t>
  </si>
  <si>
    <t>Tables</t>
  </si>
  <si>
    <t>Chairs</t>
  </si>
  <si>
    <t>Copiers</t>
  </si>
  <si>
    <t>Phones</t>
  </si>
  <si>
    <t>Corporate</t>
  </si>
  <si>
    <t>Consumer</t>
  </si>
  <si>
    <t>Home Office</t>
  </si>
  <si>
    <t>Profit Margin</t>
  </si>
  <si>
    <t>Sales by Region</t>
  </si>
  <si>
    <t>Sales by Category</t>
  </si>
  <si>
    <t>Row Labels</t>
  </si>
  <si>
    <t>Grand Total</t>
  </si>
  <si>
    <t>Sum of Sales</t>
  </si>
  <si>
    <t>Sum of Profit</t>
  </si>
  <si>
    <t>Sales by Segment</t>
  </si>
  <si>
    <t>Column Labels</t>
  </si>
  <si>
    <t>Jan</t>
  </si>
  <si>
    <t>Feb</t>
  </si>
  <si>
    <t>Mar</t>
  </si>
  <si>
    <t>Apr</t>
  </si>
  <si>
    <t>May</t>
  </si>
  <si>
    <t>Jun</t>
  </si>
  <si>
    <t>Jul</t>
  </si>
  <si>
    <t>Aug</t>
  </si>
  <si>
    <t>Sep</t>
  </si>
  <si>
    <t>Oct</t>
  </si>
  <si>
    <t>Nov</t>
  </si>
  <si>
    <t>Dec</t>
  </si>
  <si>
    <t>Sum of Margin</t>
  </si>
  <si>
    <t>Sum of Margin2</t>
  </si>
  <si>
    <t>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</si>
</sst>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m/d/yyyy;@"/>
    <numFmt numFmtId="165" formatCode="&quot;$&quot;#,##0.00"/>
    <numFmt numFmtId="166" formatCode="[$-409]d\-mmm\-yy;@"/>
    <numFmt numFmtId="167" formatCode="0.0"/>
    <numFmt numFmtId="168" formatCode="&quot;$&quot;#,##0.0,"/>
    <numFmt numFmtId="169" formatCode="#,##0.0\ &quot;%&quot;"/>
    <numFmt numFmtId="170" formatCode="&quot;Total Profit:&quot;\ &quot;$&quot;#,##0.0,"/>
    <numFmt numFmtId="171" formatCode="&quot;Total Sales:&quot;\ &quot;$&quot;#,##0.0,"/>
    <numFmt numFmtId="172" formatCode="&quot;Profit Margin:&quot;\ #,##0.0\ &quot;%&quot;"/>
  </numFmts>
  <fonts count="5" x14ac:knownFonts="1">
    <font>
      <sz val="11"/>
      <color theme="1"/>
      <name val="Calibri"/>
      <family val="2"/>
      <scheme val="minor"/>
    </font>
    <font>
      <sz val="12"/>
      <color theme="1"/>
      <name val="Calibri"/>
      <family val="2"/>
      <scheme val="minor"/>
    </font>
    <font>
      <b/>
      <sz val="11"/>
      <color theme="1"/>
      <name val="Calibri"/>
      <family val="2"/>
      <scheme val="minor"/>
    </font>
    <font>
      <b/>
      <sz val="36"/>
      <color theme="1"/>
      <name val="Calibri (Body)"/>
    </font>
    <font>
      <b/>
      <sz val="9"/>
      <color theme="1"/>
      <name val="Calibri (Body)"/>
    </font>
  </fonts>
  <fills count="4">
    <fill>
      <patternFill patternType="none"/>
    </fill>
    <fill>
      <patternFill patternType="gray125"/>
    </fill>
    <fill>
      <patternFill patternType="solid">
        <fgColor theme="4"/>
        <bgColor indexed="64"/>
      </patternFill>
    </fill>
    <fill>
      <patternFill patternType="solid">
        <fgColor theme="3" tint="0.39997558519241921"/>
        <bgColor indexed="64"/>
      </patternFill>
    </fill>
  </fills>
  <borders count="10">
    <border>
      <left/>
      <right/>
      <top/>
      <bottom/>
      <diagonal/>
    </border>
    <border>
      <left style="thin">
        <color auto="1"/>
      </left>
      <right style="thin">
        <color auto="1"/>
      </right>
      <top/>
      <bottom style="thin">
        <color auto="1"/>
      </bottom>
      <diagonal/>
    </border>
    <border>
      <left/>
      <right/>
      <top style="thin">
        <color auto="1"/>
      </top>
      <bottom/>
      <diagonal/>
    </border>
    <border>
      <left style="thin">
        <color auto="1"/>
      </left>
      <right/>
      <top/>
      <bottom style="thin">
        <color auto="1"/>
      </bottom>
      <diagonal/>
    </border>
    <border>
      <left style="thin">
        <color auto="1"/>
      </left>
      <right/>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38">
    <xf numFmtId="0" fontId="0" fillId="0" borderId="0" xfId="0"/>
    <xf numFmtId="0" fontId="2" fillId="0" borderId="1" xfId="0" applyFont="1" applyBorder="1" applyAlignment="1">
      <alignment horizontal="center" vertical="top"/>
    </xf>
    <xf numFmtId="0" fontId="0" fillId="0" borderId="2" xfId="0" applyBorder="1"/>
    <xf numFmtId="164" fontId="0" fillId="0" borderId="0" xfId="0" applyNumberFormat="1"/>
    <xf numFmtId="165" fontId="2" fillId="0" borderId="1" xfId="0" applyNumberFormat="1" applyFont="1" applyBorder="1" applyAlignment="1">
      <alignment horizontal="center" vertical="top"/>
    </xf>
    <xf numFmtId="165" fontId="0" fillId="0" borderId="0" xfId="0" applyNumberFormat="1"/>
    <xf numFmtId="166" fontId="2" fillId="0" borderId="1" xfId="0" applyNumberFormat="1" applyFont="1" applyBorder="1" applyAlignment="1">
      <alignment horizontal="center" vertical="top"/>
    </xf>
    <xf numFmtId="166" fontId="0" fillId="0" borderId="0" xfId="0" applyNumberFormat="1"/>
    <xf numFmtId="167" fontId="2" fillId="0" borderId="1" xfId="0" applyNumberFormat="1" applyFont="1" applyBorder="1" applyAlignment="1">
      <alignment horizontal="center" vertical="top"/>
    </xf>
    <xf numFmtId="167" fontId="0" fillId="0" borderId="0" xfId="0" applyNumberFormat="1"/>
    <xf numFmtId="0" fontId="0" fillId="0" borderId="6" xfId="0" applyBorder="1"/>
    <xf numFmtId="0" fontId="0" fillId="0" borderId="4" xfId="0" applyBorder="1"/>
    <xf numFmtId="0" fontId="0" fillId="0" borderId="7" xfId="0" applyBorder="1"/>
    <xf numFmtId="0" fontId="0" fillId="0" borderId="3" xfId="0" applyBorder="1"/>
    <xf numFmtId="0" fontId="0" fillId="0" borderId="8" xfId="0" applyBorder="1"/>
    <xf numFmtId="0" fontId="0" fillId="0" borderId="9" xfId="0" applyBorder="1"/>
    <xf numFmtId="0" fontId="2" fillId="0" borderId="5" xfId="0" applyFont="1" applyBorder="1"/>
    <xf numFmtId="0" fontId="2" fillId="0" borderId="0" xfId="0" applyFont="1"/>
    <xf numFmtId="0" fontId="0" fillId="0" borderId="0" xfId="0" pivotButton="1"/>
    <xf numFmtId="0" fontId="0" fillId="0" borderId="0" xfId="0" applyAlignment="1">
      <alignment horizontal="left"/>
    </xf>
    <xf numFmtId="168" fontId="0" fillId="0" borderId="0" xfId="0" applyNumberFormat="1"/>
    <xf numFmtId="169" fontId="0" fillId="0" borderId="0" xfId="0" applyNumberFormat="1"/>
    <xf numFmtId="170" fontId="0" fillId="0" borderId="0" xfId="0" applyNumberFormat="1"/>
    <xf numFmtId="171" fontId="0" fillId="0" borderId="0" xfId="0" applyNumberFormat="1"/>
    <xf numFmtId="172" fontId="0" fillId="0" borderId="0" xfId="0" applyNumberFormat="1"/>
    <xf numFmtId="0" fontId="3" fillId="3" borderId="5" xfId="0" applyFont="1" applyFill="1" applyBorder="1" applyAlignment="1">
      <alignment horizontal="center"/>
    </xf>
    <xf numFmtId="0" fontId="4" fillId="3" borderId="2" xfId="0" applyFont="1" applyFill="1" applyBorder="1" applyAlignment="1">
      <alignment horizontal="center"/>
    </xf>
    <xf numFmtId="0" fontId="4" fillId="3" borderId="4" xfId="0" applyFont="1" applyFill="1" applyBorder="1" applyAlignment="1">
      <alignment horizontal="center"/>
    </xf>
    <xf numFmtId="0" fontId="4" fillId="3" borderId="0" xfId="0" applyFont="1" applyFill="1" applyAlignment="1">
      <alignment horizontal="center"/>
    </xf>
    <xf numFmtId="170" fontId="1" fillId="2" borderId="5" xfId="0" applyNumberFormat="1" applyFont="1" applyFill="1" applyBorder="1" applyAlignment="1">
      <alignment horizontal="center"/>
    </xf>
    <xf numFmtId="170" fontId="1" fillId="2" borderId="2" xfId="0" applyNumberFormat="1" applyFont="1" applyFill="1" applyBorder="1" applyAlignment="1">
      <alignment horizontal="center"/>
    </xf>
    <xf numFmtId="170" fontId="1" fillId="2" borderId="6" xfId="0" applyNumberFormat="1" applyFont="1" applyFill="1" applyBorder="1" applyAlignment="1">
      <alignment horizontal="center"/>
    </xf>
    <xf numFmtId="171" fontId="1" fillId="2" borderId="4" xfId="0" applyNumberFormat="1" applyFont="1" applyFill="1" applyBorder="1" applyAlignment="1">
      <alignment horizontal="center"/>
    </xf>
    <xf numFmtId="171" fontId="1" fillId="2" borderId="0" xfId="0" applyNumberFormat="1" applyFont="1" applyFill="1" applyAlignment="1">
      <alignment horizontal="center"/>
    </xf>
    <xf numFmtId="171" fontId="1" fillId="2" borderId="7" xfId="0" applyNumberFormat="1" applyFont="1" applyFill="1" applyBorder="1" applyAlignment="1">
      <alignment horizontal="center"/>
    </xf>
    <xf numFmtId="172" fontId="1" fillId="2" borderId="3" xfId="0" applyNumberFormat="1" applyFont="1" applyFill="1" applyBorder="1" applyAlignment="1">
      <alignment horizontal="center"/>
    </xf>
    <xf numFmtId="172" fontId="1" fillId="2" borderId="8" xfId="0" applyNumberFormat="1" applyFont="1" applyFill="1" applyBorder="1" applyAlignment="1">
      <alignment horizontal="center"/>
    </xf>
    <xf numFmtId="172" fontId="1" fillId="2" borderId="9" xfId="0" applyNumberFormat="1" applyFont="1" applyFill="1" applyBorder="1" applyAlignment="1">
      <alignment horizontal="center"/>
    </xf>
  </cellXfs>
  <cellStyles count="1">
    <cellStyle name="Normal" xfId="0" builtinId="0"/>
  </cellStyles>
  <dxfs count="32">
    <dxf>
      <numFmt numFmtId="168" formatCode="&quot;$&quot;#,##0.0,"/>
    </dxf>
    <dxf>
      <numFmt numFmtId="173" formatCode="&quot;$&quot;#,##0.0,\k"/>
    </dxf>
    <dxf>
      <numFmt numFmtId="168" formatCode="&quot;$&quot;#,##0.0,"/>
    </dxf>
    <dxf>
      <numFmt numFmtId="168" formatCode="&quot;$&quot;#,##0.0,"/>
    </dxf>
    <dxf>
      <numFmt numFmtId="168" formatCode="&quot;$&quot;#,##0.0,"/>
    </dxf>
    <dxf>
      <numFmt numFmtId="173" formatCode="&quot;$&quot;#,##0.0,\k"/>
    </dxf>
    <dxf>
      <numFmt numFmtId="168" formatCode="&quot;$&quot;#,##0.0,"/>
    </dxf>
    <dxf>
      <numFmt numFmtId="168" formatCode="&quot;$&quot;#,##0.0,"/>
    </dxf>
    <dxf>
      <numFmt numFmtId="168" formatCode="&quot;$&quot;#,##0.0,"/>
    </dxf>
    <dxf>
      <numFmt numFmtId="173" formatCode="&quot;$&quot;#,##0.0,\k"/>
    </dxf>
    <dxf>
      <numFmt numFmtId="168" formatCode="&quot;$&quot;#,##0.0,"/>
    </dxf>
    <dxf>
      <numFmt numFmtId="168" formatCode="&quot;$&quot;#,##0.0,"/>
    </dxf>
    <dxf>
      <numFmt numFmtId="168" formatCode="&quot;$&quot;#,##0.0,"/>
    </dxf>
    <dxf>
      <numFmt numFmtId="173" formatCode="&quot;$&quot;#,##0.0,\k"/>
    </dxf>
    <dxf>
      <numFmt numFmtId="168" formatCode="&quot;$&quot;#,##0.0,"/>
    </dxf>
    <dxf>
      <numFmt numFmtId="168" formatCode="&quot;$&quot;#,##0.0,"/>
    </dxf>
    <dxf>
      <numFmt numFmtId="168" formatCode="&quot;$&quot;#,##0.0,"/>
    </dxf>
    <dxf>
      <numFmt numFmtId="173" formatCode="&quot;$&quot;#,##0.0,\k"/>
    </dxf>
    <dxf>
      <numFmt numFmtId="168" formatCode="&quot;$&quot;#,##0.0,"/>
    </dxf>
    <dxf>
      <numFmt numFmtId="168" formatCode="&quot;$&quot;#,##0.0,"/>
    </dxf>
    <dxf>
      <numFmt numFmtId="168" formatCode="&quot;$&quot;#,##0.0,"/>
    </dxf>
    <dxf>
      <numFmt numFmtId="173" formatCode="&quot;$&quot;#,##0.0,\k"/>
    </dxf>
    <dxf>
      <numFmt numFmtId="168" formatCode="&quot;$&quot;#,##0.0,"/>
    </dxf>
    <dxf>
      <numFmt numFmtId="168" formatCode="&quot;$&quot;#,##0.0,"/>
    </dxf>
    <dxf>
      <numFmt numFmtId="167" formatCode="0.0"/>
    </dxf>
    <dxf>
      <numFmt numFmtId="165" formatCode="&quot;$&quot;#,##0.00"/>
    </dxf>
    <dxf>
      <numFmt numFmtId="165" formatCode="&quot;$&quot;#,##0.00"/>
    </dxf>
    <dxf>
      <numFmt numFmtId="166" formatCode="[$-409]d\-mmm\-yy;@"/>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69" formatCode="#,##0.0\ &quot;%&quo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[sales_dashboard_practice1.xlsx]Pivot Tables!Sales_Region</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Regional Sales &amp; Profits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Sum of Sales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Tables'!$A$4:$A$8</c:f>
              <c:strCache>
                <c:ptCount val="4"/>
                <c:pt idx="0">
                  <c:v>Midwest</c:v>
                </c:pt>
                <c:pt idx="1">
                  <c:v>Northeast</c:v>
                </c:pt>
                <c:pt idx="2">
                  <c:v>South</c:v>
                </c:pt>
                <c:pt idx="3">
                  <c:v>West</c:v>
                </c:pt>
              </c:strCache>
            </c:strRef>
          </c:cat>
          <c:val>
            <c:numRef>
              <c:f>'Pivot Tables'!$B$4:$B$8</c:f>
              <c:numCache>
                <c:formatCode>"$"#,##0.0,</c:formatCode>
                <c:ptCount val="4"/>
                <c:pt idx="0">
                  <c:v>29469.229999999996</c:v>
                </c:pt>
                <c:pt idx="1">
                  <c:v>26196.780000000006</c:v>
                </c:pt>
                <c:pt idx="2">
                  <c:v>22383.440000000002</c:v>
                </c:pt>
                <c:pt idx="3">
                  <c:v>23812.799999999996</c:v>
                </c:pt>
              </c:numCache>
            </c:numRef>
          </c:val>
          <c:extLst>
            <c:ext xmlns:c16="http://schemas.microsoft.com/office/drawing/2014/chart" uri="{C3380CC4-5D6E-409C-BE32-E72D297353CC}">
              <c16:uniqueId val="{00000003-8B66-344A-9EDA-EF426B3B1DD6}"/>
            </c:ext>
          </c:extLst>
        </c:ser>
        <c:ser>
          <c:idx val="1"/>
          <c:order val="1"/>
          <c:tx>
            <c:strRef>
              <c:f>'Pivot Tables'!$C$3</c:f>
              <c:strCache>
                <c:ptCount val="1"/>
                <c:pt idx="0">
                  <c:v>Sum of Profit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Tables'!$A$4:$A$8</c:f>
              <c:strCache>
                <c:ptCount val="4"/>
                <c:pt idx="0">
                  <c:v>Midwest</c:v>
                </c:pt>
                <c:pt idx="1">
                  <c:v>Northeast</c:v>
                </c:pt>
                <c:pt idx="2">
                  <c:v>South</c:v>
                </c:pt>
                <c:pt idx="3">
                  <c:v>West</c:v>
                </c:pt>
              </c:strCache>
            </c:strRef>
          </c:cat>
          <c:val>
            <c:numRef>
              <c:f>'Pivot Tables'!$C$4:$C$8</c:f>
              <c:numCache>
                <c:formatCode>"$"#,##0.0,</c:formatCode>
                <c:ptCount val="4"/>
                <c:pt idx="0">
                  <c:v>1413.8300000000002</c:v>
                </c:pt>
                <c:pt idx="1">
                  <c:v>1782.05</c:v>
                </c:pt>
                <c:pt idx="2">
                  <c:v>1472.46</c:v>
                </c:pt>
                <c:pt idx="3">
                  <c:v>1817.0800000000002</c:v>
                </c:pt>
              </c:numCache>
            </c:numRef>
          </c:val>
          <c:extLst>
            <c:ext xmlns:c16="http://schemas.microsoft.com/office/drawing/2014/chart" uri="{C3380CC4-5D6E-409C-BE32-E72D297353CC}">
              <c16:uniqueId val="{00000004-8B66-344A-9EDA-EF426B3B1DD6}"/>
            </c:ext>
          </c:extLst>
        </c:ser>
        <c:dLbls>
          <c:showLegendKey val="0"/>
          <c:showVal val="0"/>
          <c:showCatName val="0"/>
          <c:showSerName val="0"/>
          <c:showPercent val="0"/>
          <c:showBubbleSize val="0"/>
        </c:dLbls>
        <c:gapWidth val="100"/>
        <c:axId val="1528467392"/>
        <c:axId val="1528463360"/>
      </c:barChart>
      <c:catAx>
        <c:axId val="152846739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28463360"/>
        <c:crosses val="autoZero"/>
        <c:auto val="1"/>
        <c:lblAlgn val="ctr"/>
        <c:lblOffset val="100"/>
        <c:noMultiLvlLbl val="0"/>
      </c:catAx>
      <c:valAx>
        <c:axId val="1528463360"/>
        <c:scaling>
          <c:orientation val="minMax"/>
        </c:scaling>
        <c:delete val="1"/>
        <c:axPos val="l"/>
        <c:numFmt formatCode="&quot;$&quot;#,##0.0," sourceLinked="1"/>
        <c:majorTickMark val="none"/>
        <c:minorTickMark val="none"/>
        <c:tickLblPos val="nextTo"/>
        <c:crossAx val="1528467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[sales_dashboard_practice1.xlsx]Pivot Tables!Sales_Category</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by Category &amp; Sub-category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w="9525">
              <a:solidFill>
                <a:schemeClr val="accent1">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w="9525">
              <a:solidFill>
                <a:schemeClr val="accent2">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w="9525">
              <a:solidFill>
                <a:schemeClr val="accent3">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Tables'!$G$3:$G$4</c:f>
              <c:strCache>
                <c:ptCount val="1"/>
                <c:pt idx="0">
                  <c:v>Accessories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Tables'!$F$5:$F$8</c:f>
              <c:strCache>
                <c:ptCount val="3"/>
                <c:pt idx="0">
                  <c:v>Furniture</c:v>
                </c:pt>
                <c:pt idx="1">
                  <c:v>Office Supplies</c:v>
                </c:pt>
                <c:pt idx="2">
                  <c:v>Technology</c:v>
                </c:pt>
              </c:strCache>
            </c:strRef>
          </c:cat>
          <c:val>
            <c:numRef>
              <c:f>'Pivot Tables'!$G$5:$G$8</c:f>
              <c:numCache>
                <c:formatCode>"$"#,##0.0,</c:formatCode>
                <c:ptCount val="3"/>
                <c:pt idx="2">
                  <c:v>12641.45</c:v>
                </c:pt>
              </c:numCache>
            </c:numRef>
          </c:val>
          <c:extLst>
            <c:ext xmlns:c16="http://schemas.microsoft.com/office/drawing/2014/chart" uri="{C3380CC4-5D6E-409C-BE32-E72D297353CC}">
              <c16:uniqueId val="{00000000-CCFB-EF48-B974-920E810CCFB5}"/>
            </c:ext>
          </c:extLst>
        </c:ser>
        <c:ser>
          <c:idx val="1"/>
          <c:order val="1"/>
          <c:tx>
            <c:strRef>
              <c:f>'Pivot Tables'!$H$3:$H$4</c:f>
              <c:strCache>
                <c:ptCount val="1"/>
                <c:pt idx="0">
                  <c:v>Binders</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Tables'!$F$5:$F$8</c:f>
              <c:strCache>
                <c:ptCount val="3"/>
                <c:pt idx="0">
                  <c:v>Furniture</c:v>
                </c:pt>
                <c:pt idx="1">
                  <c:v>Office Supplies</c:v>
                </c:pt>
                <c:pt idx="2">
                  <c:v>Technology</c:v>
                </c:pt>
              </c:strCache>
            </c:strRef>
          </c:cat>
          <c:val>
            <c:numRef>
              <c:f>'Pivot Tables'!$H$5:$H$8</c:f>
              <c:numCache>
                <c:formatCode>"$"#,##0.0,</c:formatCode>
                <c:ptCount val="3"/>
                <c:pt idx="1">
                  <c:v>10001.149999999998</c:v>
                </c:pt>
              </c:numCache>
            </c:numRef>
          </c:val>
          <c:extLst>
            <c:ext xmlns:c16="http://schemas.microsoft.com/office/drawing/2014/chart" uri="{C3380CC4-5D6E-409C-BE32-E72D297353CC}">
              <c16:uniqueId val="{00000001-CCFB-EF48-B974-920E810CCFB5}"/>
            </c:ext>
          </c:extLst>
        </c:ser>
        <c:ser>
          <c:idx val="2"/>
          <c:order val="2"/>
          <c:tx>
            <c:strRef>
              <c:f>'Pivot Tables'!$I$3:$I$4</c:f>
              <c:strCache>
                <c:ptCount val="1"/>
                <c:pt idx="0">
                  <c:v>Bookcases</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Tables'!$F$5:$F$8</c:f>
              <c:strCache>
                <c:ptCount val="3"/>
                <c:pt idx="0">
                  <c:v>Furniture</c:v>
                </c:pt>
                <c:pt idx="1">
                  <c:v>Office Supplies</c:v>
                </c:pt>
                <c:pt idx="2">
                  <c:v>Technology</c:v>
                </c:pt>
              </c:strCache>
            </c:strRef>
          </c:cat>
          <c:val>
            <c:numRef>
              <c:f>'Pivot Tables'!$I$5:$I$8</c:f>
              <c:numCache>
                <c:formatCode>"$"#,##0.0,</c:formatCode>
                <c:ptCount val="3"/>
                <c:pt idx="0">
                  <c:v>9759.58</c:v>
                </c:pt>
              </c:numCache>
            </c:numRef>
          </c:val>
          <c:extLst>
            <c:ext xmlns:c16="http://schemas.microsoft.com/office/drawing/2014/chart" uri="{C3380CC4-5D6E-409C-BE32-E72D297353CC}">
              <c16:uniqueId val="{00000035-CCFB-EF48-B974-920E810CCFB5}"/>
            </c:ext>
          </c:extLst>
        </c:ser>
        <c:ser>
          <c:idx val="3"/>
          <c:order val="3"/>
          <c:tx>
            <c:strRef>
              <c:f>'Pivot Tables'!$J$3:$J$4</c:f>
              <c:strCache>
                <c:ptCount val="1"/>
                <c:pt idx="0">
                  <c:v>Chairs</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Tables'!$F$5:$F$8</c:f>
              <c:strCache>
                <c:ptCount val="3"/>
                <c:pt idx="0">
                  <c:v>Furniture</c:v>
                </c:pt>
                <c:pt idx="1">
                  <c:v>Office Supplies</c:v>
                </c:pt>
                <c:pt idx="2">
                  <c:v>Technology</c:v>
                </c:pt>
              </c:strCache>
            </c:strRef>
          </c:cat>
          <c:val>
            <c:numRef>
              <c:f>'Pivot Tables'!$J$5:$J$8</c:f>
              <c:numCache>
                <c:formatCode>"$"#,##0.0,</c:formatCode>
                <c:ptCount val="3"/>
                <c:pt idx="0">
                  <c:v>9477.0399999999991</c:v>
                </c:pt>
              </c:numCache>
            </c:numRef>
          </c:val>
          <c:extLst>
            <c:ext xmlns:c16="http://schemas.microsoft.com/office/drawing/2014/chart" uri="{C3380CC4-5D6E-409C-BE32-E72D297353CC}">
              <c16:uniqueId val="{00000036-CCFB-EF48-B974-920E810CCFB5}"/>
            </c:ext>
          </c:extLst>
        </c:ser>
        <c:ser>
          <c:idx val="4"/>
          <c:order val="4"/>
          <c:tx>
            <c:strRef>
              <c:f>'Pivot Tables'!$K$3:$K$4</c:f>
              <c:strCache>
                <c:ptCount val="1"/>
                <c:pt idx="0">
                  <c:v>Copiers</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Tables'!$F$5:$F$8</c:f>
              <c:strCache>
                <c:ptCount val="3"/>
                <c:pt idx="0">
                  <c:v>Furniture</c:v>
                </c:pt>
                <c:pt idx="1">
                  <c:v>Office Supplies</c:v>
                </c:pt>
                <c:pt idx="2">
                  <c:v>Technology</c:v>
                </c:pt>
              </c:strCache>
            </c:strRef>
          </c:cat>
          <c:val>
            <c:numRef>
              <c:f>'Pivot Tables'!$K$5:$K$8</c:f>
              <c:numCache>
                <c:formatCode>"$"#,##0.0,</c:formatCode>
                <c:ptCount val="3"/>
                <c:pt idx="2">
                  <c:v>8841.2899999999991</c:v>
                </c:pt>
              </c:numCache>
            </c:numRef>
          </c:val>
          <c:extLst>
            <c:ext xmlns:c16="http://schemas.microsoft.com/office/drawing/2014/chart" uri="{C3380CC4-5D6E-409C-BE32-E72D297353CC}">
              <c16:uniqueId val="{00000037-CCFB-EF48-B974-920E810CCFB5}"/>
            </c:ext>
          </c:extLst>
        </c:ser>
        <c:ser>
          <c:idx val="5"/>
          <c:order val="5"/>
          <c:tx>
            <c:strRef>
              <c:f>'Pivot Tables'!$L$3:$L$4</c:f>
              <c:strCache>
                <c:ptCount val="1"/>
                <c:pt idx="0">
                  <c:v>Paper</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Tables'!$F$5:$F$8</c:f>
              <c:strCache>
                <c:ptCount val="3"/>
                <c:pt idx="0">
                  <c:v>Furniture</c:v>
                </c:pt>
                <c:pt idx="1">
                  <c:v>Office Supplies</c:v>
                </c:pt>
                <c:pt idx="2">
                  <c:v>Technology</c:v>
                </c:pt>
              </c:strCache>
            </c:strRef>
          </c:cat>
          <c:val>
            <c:numRef>
              <c:f>'Pivot Tables'!$L$5:$L$8</c:f>
              <c:numCache>
                <c:formatCode>"$"#,##0.0,</c:formatCode>
                <c:ptCount val="3"/>
                <c:pt idx="1">
                  <c:v>16957.97</c:v>
                </c:pt>
              </c:numCache>
            </c:numRef>
          </c:val>
          <c:extLst>
            <c:ext xmlns:c16="http://schemas.microsoft.com/office/drawing/2014/chart" uri="{C3380CC4-5D6E-409C-BE32-E72D297353CC}">
              <c16:uniqueId val="{00000038-CCFB-EF48-B974-920E810CCFB5}"/>
            </c:ext>
          </c:extLst>
        </c:ser>
        <c:ser>
          <c:idx val="6"/>
          <c:order val="6"/>
          <c:tx>
            <c:strRef>
              <c:f>'Pivot Tables'!$M$3:$M$4</c:f>
              <c:strCache>
                <c:ptCount val="1"/>
                <c:pt idx="0">
                  <c:v>Phones</c:v>
                </c:pt>
              </c:strCache>
            </c:strRef>
          </c:tx>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Tables'!$F$5:$F$8</c:f>
              <c:strCache>
                <c:ptCount val="3"/>
                <c:pt idx="0">
                  <c:v>Furniture</c:v>
                </c:pt>
                <c:pt idx="1">
                  <c:v>Office Supplies</c:v>
                </c:pt>
                <c:pt idx="2">
                  <c:v>Technology</c:v>
                </c:pt>
              </c:strCache>
            </c:strRef>
          </c:cat>
          <c:val>
            <c:numRef>
              <c:f>'Pivot Tables'!$M$5:$M$8</c:f>
              <c:numCache>
                <c:formatCode>"$"#,##0.0,</c:formatCode>
                <c:ptCount val="3"/>
                <c:pt idx="2">
                  <c:v>12908.109999999999</c:v>
                </c:pt>
              </c:numCache>
            </c:numRef>
          </c:val>
          <c:extLst>
            <c:ext xmlns:c16="http://schemas.microsoft.com/office/drawing/2014/chart" uri="{C3380CC4-5D6E-409C-BE32-E72D297353CC}">
              <c16:uniqueId val="{00000039-CCFB-EF48-B974-920E810CCFB5}"/>
            </c:ext>
          </c:extLst>
        </c:ser>
        <c:ser>
          <c:idx val="7"/>
          <c:order val="7"/>
          <c:tx>
            <c:strRef>
              <c:f>'Pivot Tables'!$N$3:$N$4</c:f>
              <c:strCache>
                <c:ptCount val="1"/>
                <c:pt idx="0">
                  <c:v>Storage</c:v>
                </c:pt>
              </c:strCache>
            </c:strRef>
          </c:tx>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Tables'!$F$5:$F$8</c:f>
              <c:strCache>
                <c:ptCount val="3"/>
                <c:pt idx="0">
                  <c:v>Furniture</c:v>
                </c:pt>
                <c:pt idx="1">
                  <c:v>Office Supplies</c:v>
                </c:pt>
                <c:pt idx="2">
                  <c:v>Technology</c:v>
                </c:pt>
              </c:strCache>
            </c:strRef>
          </c:cat>
          <c:val>
            <c:numRef>
              <c:f>'Pivot Tables'!$N$5:$N$8</c:f>
              <c:numCache>
                <c:formatCode>"$"#,##0.0,</c:formatCode>
                <c:ptCount val="3"/>
                <c:pt idx="1">
                  <c:v>14329.32</c:v>
                </c:pt>
              </c:numCache>
            </c:numRef>
          </c:val>
          <c:extLst>
            <c:ext xmlns:c16="http://schemas.microsoft.com/office/drawing/2014/chart" uri="{C3380CC4-5D6E-409C-BE32-E72D297353CC}">
              <c16:uniqueId val="{0000003A-CCFB-EF48-B974-920E810CCFB5}"/>
            </c:ext>
          </c:extLst>
        </c:ser>
        <c:ser>
          <c:idx val="8"/>
          <c:order val="8"/>
          <c:tx>
            <c:strRef>
              <c:f>'Pivot Tables'!$O$3:$O$4</c:f>
              <c:strCache>
                <c:ptCount val="1"/>
                <c:pt idx="0">
                  <c:v>Tables</c:v>
                </c:pt>
              </c:strCache>
            </c:strRef>
          </c:tx>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Tables'!$F$5:$F$8</c:f>
              <c:strCache>
                <c:ptCount val="3"/>
                <c:pt idx="0">
                  <c:v>Furniture</c:v>
                </c:pt>
                <c:pt idx="1">
                  <c:v>Office Supplies</c:v>
                </c:pt>
                <c:pt idx="2">
                  <c:v>Technology</c:v>
                </c:pt>
              </c:strCache>
            </c:strRef>
          </c:cat>
          <c:val>
            <c:numRef>
              <c:f>'Pivot Tables'!$O$5:$O$8</c:f>
              <c:numCache>
                <c:formatCode>"$"#,##0.0,</c:formatCode>
                <c:ptCount val="3"/>
                <c:pt idx="0">
                  <c:v>6946.3399999999992</c:v>
                </c:pt>
              </c:numCache>
            </c:numRef>
          </c:val>
          <c:extLst>
            <c:ext xmlns:c16="http://schemas.microsoft.com/office/drawing/2014/chart" uri="{C3380CC4-5D6E-409C-BE32-E72D297353CC}">
              <c16:uniqueId val="{0000003B-CCFB-EF48-B974-920E810CCFB5}"/>
            </c:ext>
          </c:extLst>
        </c:ser>
        <c:dLbls>
          <c:dLblPos val="ctr"/>
          <c:showLegendKey val="0"/>
          <c:showVal val="1"/>
          <c:showCatName val="0"/>
          <c:showSerName val="0"/>
          <c:showPercent val="0"/>
          <c:showBubbleSize val="0"/>
        </c:dLbls>
        <c:gapWidth val="150"/>
        <c:overlap val="100"/>
        <c:axId val="1602679936"/>
        <c:axId val="1602669632"/>
      </c:barChart>
      <c:catAx>
        <c:axId val="160267993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02669632"/>
        <c:crosses val="autoZero"/>
        <c:auto val="1"/>
        <c:lblAlgn val="ctr"/>
        <c:lblOffset val="100"/>
        <c:noMultiLvlLbl val="0"/>
      </c:catAx>
      <c:valAx>
        <c:axId val="1602669632"/>
        <c:scaling>
          <c:orientation val="minMax"/>
        </c:scaling>
        <c:delete val="0"/>
        <c:axPos val="l"/>
        <c:majorGridlines>
          <c:spPr>
            <a:ln w="9525" cap="flat" cmpd="sng" algn="ctr">
              <a:solidFill>
                <a:schemeClr val="lt1">
                  <a:lumMod val="95000"/>
                  <a:alpha val="10000"/>
                </a:schemeClr>
              </a:solidFill>
              <a:round/>
            </a:ln>
            <a:effectLst/>
          </c:spPr>
        </c:majorGridlines>
        <c:minorGridlines>
          <c:spPr>
            <a:ln>
              <a:solidFill>
                <a:schemeClr val="lt1">
                  <a:lumMod val="95000"/>
                  <a:alpha val="5000"/>
                </a:schemeClr>
              </a:solidFill>
            </a:ln>
            <a:effectLst/>
          </c:spPr>
        </c:minorGridlines>
        <c:numFmt formatCode="&quot;$&quot;#,##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02679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[sales_dashboard_practice1.xlsx]Pivot Tables!Sales_Trends</c:name>
    <c:fmtId val="1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 Sales</a:t>
            </a:r>
            <a:r>
              <a:rPr lang="en-US" baseline="0"/>
              <a:t> &amp; Profits Trends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extLst>
        </c:dLbl>
      </c:pivotFmt>
      <c:pivotFmt>
        <c:idx val="5"/>
        <c:spPr>
          <a:ln w="34925" cap="rnd">
            <a:solidFill>
              <a:schemeClr val="accent1"/>
            </a:solidFill>
            <a:round/>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extLst>
        </c:dLbl>
      </c:pivotFmt>
    </c:pivotFmts>
    <c:plotArea>
      <c:layout/>
      <c:lineChart>
        <c:grouping val="standard"/>
        <c:varyColors val="0"/>
        <c:ser>
          <c:idx val="0"/>
          <c:order val="0"/>
          <c:tx>
            <c:strRef>
              <c:f>'Pivot Tables'!$T$3</c:f>
              <c:strCache>
                <c:ptCount val="1"/>
                <c:pt idx="0">
                  <c:v>Sum of Sales</c:v>
                </c:pt>
              </c:strCache>
            </c:strRef>
          </c:tx>
          <c:spPr>
            <a:ln w="34925" cap="rnd">
              <a:solidFill>
                <a:schemeClr val="accent1"/>
              </a:solidFill>
              <a:round/>
            </a:ln>
            <a:effectLst>
              <a:outerShdw blurRad="40000" dist="23000" dir="5400000" rotWithShape="0">
                <a:srgbClr val="000000">
                  <a:alpha val="35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Tables'!$S$4:$S$16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Tables'!$T$4:$T$16</c:f>
              <c:numCache>
                <c:formatCode>"$"#,##0.0,</c:formatCode>
                <c:ptCount val="12"/>
                <c:pt idx="0">
                  <c:v>4985.4999999999991</c:v>
                </c:pt>
                <c:pt idx="1">
                  <c:v>10411.820000000002</c:v>
                </c:pt>
                <c:pt idx="2">
                  <c:v>5925.53</c:v>
                </c:pt>
                <c:pt idx="3">
                  <c:v>5473.87</c:v>
                </c:pt>
                <c:pt idx="4">
                  <c:v>9698.36</c:v>
                </c:pt>
                <c:pt idx="5">
                  <c:v>9938.7200000000048</c:v>
                </c:pt>
                <c:pt idx="6">
                  <c:v>12906.99</c:v>
                </c:pt>
                <c:pt idx="7">
                  <c:v>10558.739999999998</c:v>
                </c:pt>
                <c:pt idx="8">
                  <c:v>5050.2700000000004</c:v>
                </c:pt>
                <c:pt idx="9">
                  <c:v>8902.2599999999984</c:v>
                </c:pt>
                <c:pt idx="10">
                  <c:v>8335.44</c:v>
                </c:pt>
                <c:pt idx="11">
                  <c:v>9674.75</c:v>
                </c:pt>
              </c:numCache>
            </c:numRef>
          </c:val>
          <c:smooth val="0"/>
          <c:extLst>
            <c:ext xmlns:c16="http://schemas.microsoft.com/office/drawing/2014/chart" uri="{C3380CC4-5D6E-409C-BE32-E72D297353CC}">
              <c16:uniqueId val="{00000000-0BAB-6443-856A-9C6AEE342894}"/>
            </c:ext>
          </c:extLst>
        </c:ser>
        <c:ser>
          <c:idx val="1"/>
          <c:order val="1"/>
          <c:tx>
            <c:strRef>
              <c:f>'Pivot Tables'!$U$3</c:f>
              <c:strCache>
                <c:ptCount val="1"/>
                <c:pt idx="0">
                  <c:v>Sum of Profit</c:v>
                </c:pt>
              </c:strCache>
            </c:strRef>
          </c:tx>
          <c:spPr>
            <a:ln w="34925" cap="rnd">
              <a:solidFill>
                <a:schemeClr val="accent2"/>
              </a:solidFill>
              <a:round/>
            </a:ln>
            <a:effectLst>
              <a:outerShdw blurRad="40000" dist="23000" dir="5400000" rotWithShape="0">
                <a:srgbClr val="000000">
                  <a:alpha val="35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Tables'!$S$4:$S$16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Tables'!$U$4:$U$16</c:f>
              <c:numCache>
                <c:formatCode>"$"#,##0.0,</c:formatCode>
                <c:ptCount val="12"/>
                <c:pt idx="0">
                  <c:v>362.96999999999997</c:v>
                </c:pt>
                <c:pt idx="1">
                  <c:v>195.90000000000003</c:v>
                </c:pt>
                <c:pt idx="2">
                  <c:v>331.78</c:v>
                </c:pt>
                <c:pt idx="3">
                  <c:v>343.76</c:v>
                </c:pt>
                <c:pt idx="4">
                  <c:v>507.03999999999991</c:v>
                </c:pt>
                <c:pt idx="5">
                  <c:v>670.50000000000011</c:v>
                </c:pt>
                <c:pt idx="6">
                  <c:v>1423.1199999999997</c:v>
                </c:pt>
                <c:pt idx="7">
                  <c:v>803.93999999999994</c:v>
                </c:pt>
                <c:pt idx="8">
                  <c:v>183.72</c:v>
                </c:pt>
                <c:pt idx="9">
                  <c:v>588.35</c:v>
                </c:pt>
                <c:pt idx="10">
                  <c:v>427.82000000000005</c:v>
                </c:pt>
                <c:pt idx="11">
                  <c:v>646.5200000000001</c:v>
                </c:pt>
              </c:numCache>
            </c:numRef>
          </c:val>
          <c:smooth val="0"/>
          <c:extLst>
            <c:ext xmlns:c16="http://schemas.microsoft.com/office/drawing/2014/chart" uri="{C3380CC4-5D6E-409C-BE32-E72D297353CC}">
              <c16:uniqueId val="{00000001-0BAB-6443-856A-9C6AEE342894}"/>
            </c:ext>
          </c:extLst>
        </c:ser>
        <c:dLbls>
          <c:showLegendKey val="0"/>
          <c:showVal val="0"/>
          <c:showCatName val="0"/>
          <c:showSerName val="0"/>
          <c:showPercent val="0"/>
          <c:showBubbleSize val="0"/>
        </c:dLbls>
        <c:smooth val="0"/>
        <c:axId val="1623406144"/>
        <c:axId val="1623402560"/>
      </c:lineChart>
      <c:catAx>
        <c:axId val="162340614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23402560"/>
        <c:crosses val="autoZero"/>
        <c:auto val="1"/>
        <c:lblAlgn val="ctr"/>
        <c:lblOffset val="100"/>
        <c:noMultiLvlLbl val="0"/>
      </c:catAx>
      <c:valAx>
        <c:axId val="1623402560"/>
        <c:scaling>
          <c:orientation val="minMax"/>
        </c:scaling>
        <c:delete val="1"/>
        <c:axPos val="l"/>
        <c:numFmt formatCode="&quot;$&quot;#,##0.0," sourceLinked="1"/>
        <c:majorTickMark val="none"/>
        <c:minorTickMark val="none"/>
        <c:tickLblPos val="nextTo"/>
        <c:crossAx val="16234061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[sales_dashboard_practice1.xlsx]Pivot Tables!Profit_Margin_Category</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 Margin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Tables'!$AE$3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Tables'!$AD$4:$AD$7</c:f>
              <c:strCache>
                <c:ptCount val="3"/>
                <c:pt idx="0">
                  <c:v>Technology</c:v>
                </c:pt>
                <c:pt idx="1">
                  <c:v>Office Supplies</c:v>
                </c:pt>
                <c:pt idx="2">
                  <c:v>Furniture</c:v>
                </c:pt>
              </c:strCache>
            </c:strRef>
          </c:cat>
          <c:val>
            <c:numRef>
              <c:f>'Pivot Tables'!$AE$4:$AE$7</c:f>
              <c:numCache>
                <c:formatCode>#,##0.0\ "%"</c:formatCode>
                <c:ptCount val="3"/>
                <c:pt idx="0">
                  <c:v>7.1462612875226972</c:v>
                </c:pt>
                <c:pt idx="1">
                  <c:v>6.2876921482138828</c:v>
                </c:pt>
                <c:pt idx="2">
                  <c:v>5.4679455645962127</c:v>
                </c:pt>
              </c:numCache>
            </c:numRef>
          </c:val>
          <c:extLst>
            <c:ext xmlns:c16="http://schemas.microsoft.com/office/drawing/2014/chart" uri="{C3380CC4-5D6E-409C-BE32-E72D297353CC}">
              <c16:uniqueId val="{00000000-52F0-8B48-A452-AE09A534583E}"/>
            </c:ext>
          </c:extLst>
        </c:ser>
        <c:dLbls>
          <c:showLegendKey val="0"/>
          <c:showVal val="0"/>
          <c:showCatName val="0"/>
          <c:showSerName val="0"/>
          <c:showPercent val="0"/>
          <c:showBubbleSize val="0"/>
        </c:dLbls>
        <c:gapWidth val="150"/>
        <c:overlap val="100"/>
        <c:axId val="1634787200"/>
        <c:axId val="1634781824"/>
      </c:barChart>
      <c:catAx>
        <c:axId val="163478720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34781824"/>
        <c:crosses val="autoZero"/>
        <c:auto val="1"/>
        <c:lblAlgn val="ctr"/>
        <c:lblOffset val="100"/>
        <c:noMultiLvlLbl val="0"/>
      </c:catAx>
      <c:valAx>
        <c:axId val="1634781824"/>
        <c:scaling>
          <c:orientation val="minMax"/>
        </c:scaling>
        <c:delete val="1"/>
        <c:axPos val="l"/>
        <c:numFmt formatCode="#,##0.0\ &quot;%&quot;" sourceLinked="1"/>
        <c:majorTickMark val="none"/>
        <c:minorTickMark val="none"/>
        <c:tickLblPos val="nextTo"/>
        <c:crossAx val="1634787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0</xdr:colOff>
      <xdr:row>21</xdr:row>
      <xdr:rowOff>0</xdr:rowOff>
    </xdr:from>
    <xdr:to>
      <xdr:col>8</xdr:col>
      <xdr:colOff>0</xdr:colOff>
      <xdr:row>43</xdr:row>
      <xdr:rowOff>0</xdr:rowOff>
    </xdr:to>
    <xdr:graphicFrame macro="">
      <xdr:nvGraphicFramePr>
        <xdr:cNvPr id="2" name="Sales_Profits_Region">
          <a:extLst>
            <a:ext uri="{FF2B5EF4-FFF2-40B4-BE49-F238E27FC236}">
              <a16:creationId xmlns:a16="http://schemas.microsoft.com/office/drawing/2014/main" id="{4BCF2832-45AE-F346-B125-C2643CB905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21</xdr:row>
      <xdr:rowOff>0</xdr:rowOff>
    </xdr:from>
    <xdr:to>
      <xdr:col>14</xdr:col>
      <xdr:colOff>0</xdr:colOff>
      <xdr:row>43</xdr:row>
      <xdr:rowOff>0</xdr:rowOff>
    </xdr:to>
    <xdr:graphicFrame macro="">
      <xdr:nvGraphicFramePr>
        <xdr:cNvPr id="3" name="Chart 2">
          <a:extLst>
            <a:ext uri="{FF2B5EF4-FFF2-40B4-BE49-F238E27FC236}">
              <a16:creationId xmlns:a16="http://schemas.microsoft.com/office/drawing/2014/main" id="{6056F77C-8C1D-9844-AB4F-58504053D7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3</xdr:row>
      <xdr:rowOff>0</xdr:rowOff>
    </xdr:from>
    <xdr:to>
      <xdr:col>20</xdr:col>
      <xdr:colOff>0</xdr:colOff>
      <xdr:row>21</xdr:row>
      <xdr:rowOff>0</xdr:rowOff>
    </xdr:to>
    <xdr:graphicFrame macro="">
      <xdr:nvGraphicFramePr>
        <xdr:cNvPr id="4" name="Chart 3">
          <a:extLst>
            <a:ext uri="{FF2B5EF4-FFF2-40B4-BE49-F238E27FC236}">
              <a16:creationId xmlns:a16="http://schemas.microsoft.com/office/drawing/2014/main" id="{93B5C12F-7F90-1144-9E37-3984B0B70B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0</xdr:colOff>
      <xdr:row>21</xdr:row>
      <xdr:rowOff>0</xdr:rowOff>
    </xdr:from>
    <xdr:to>
      <xdr:col>20</xdr:col>
      <xdr:colOff>0</xdr:colOff>
      <xdr:row>43</xdr:row>
      <xdr:rowOff>0</xdr:rowOff>
    </xdr:to>
    <xdr:graphicFrame macro="">
      <xdr:nvGraphicFramePr>
        <xdr:cNvPr id="5" name="Chart 4">
          <a:extLst>
            <a:ext uri="{FF2B5EF4-FFF2-40B4-BE49-F238E27FC236}">
              <a16:creationId xmlns:a16="http://schemas.microsoft.com/office/drawing/2014/main" id="{D7E287E7-EEA8-9549-80B5-01427545C7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0</xdr:col>
      <xdr:colOff>0</xdr:colOff>
      <xdr:row>0</xdr:row>
      <xdr:rowOff>0</xdr:rowOff>
    </xdr:from>
    <xdr:to>
      <xdr:col>2</xdr:col>
      <xdr:colOff>0</xdr:colOff>
      <xdr:row>13</xdr:row>
      <xdr:rowOff>1524</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E7AAEF0D-CC2E-D1F0-F646-4838DEF12BFE}"/>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0"/>
              <a:ext cx="1651000" cy="24780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0</xdr:colOff>
      <xdr:row>13</xdr:row>
      <xdr:rowOff>12700</xdr:rowOff>
    </xdr:from>
    <xdr:to>
      <xdr:col>2</xdr:col>
      <xdr:colOff>0</xdr:colOff>
      <xdr:row>27</xdr:row>
      <xdr:rowOff>15748</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D91299B6-9493-C7CF-1C31-18CE551524C6}"/>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0" y="2489200"/>
              <a:ext cx="1651000" cy="26700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0</xdr:colOff>
      <xdr:row>27</xdr:row>
      <xdr:rowOff>0</xdr:rowOff>
    </xdr:from>
    <xdr:to>
      <xdr:col>2</xdr:col>
      <xdr:colOff>0</xdr:colOff>
      <xdr:row>43</xdr:row>
      <xdr:rowOff>0</xdr:rowOff>
    </xdr:to>
    <mc:AlternateContent xmlns:mc="http://schemas.openxmlformats.org/markup-compatibility/2006" xmlns:a14="http://schemas.microsoft.com/office/drawing/2010/main">
      <mc:Choice Requires="a14">
        <xdr:graphicFrame macro="">
          <xdr:nvGraphicFramePr>
            <xdr:cNvPr id="8" name="Segment">
              <a:extLst>
                <a:ext uri="{FF2B5EF4-FFF2-40B4-BE49-F238E27FC236}">
                  <a16:creationId xmlns:a16="http://schemas.microsoft.com/office/drawing/2014/main" id="{F45259BF-54BC-99A1-3109-B26BC535F66B}"/>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0" y="5143500"/>
              <a:ext cx="1651000" cy="3048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oneCellAnchor>
    <xdr:from>
      <xdr:col>18</xdr:col>
      <xdr:colOff>12700</xdr:colOff>
      <xdr:row>0</xdr:row>
      <xdr:rowOff>139700</xdr:rowOff>
    </xdr:from>
    <xdr:ext cx="1513812" cy="264560"/>
    <xdr:sp macro="" textlink="">
      <xdr:nvSpPr>
        <xdr:cNvPr id="10" name="TextBox 9">
          <a:extLst>
            <a:ext uri="{FF2B5EF4-FFF2-40B4-BE49-F238E27FC236}">
              <a16:creationId xmlns:a16="http://schemas.microsoft.com/office/drawing/2014/main" id="{DF13FD51-4E81-E2D3-A05F-8A4311C188D4}"/>
            </a:ext>
          </a:extLst>
        </xdr:cNvPr>
        <xdr:cNvSpPr txBox="1"/>
      </xdr:nvSpPr>
      <xdr:spPr>
        <a:xfrm>
          <a:off x="15544800" y="139700"/>
          <a:ext cx="151381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All values in Thousands</a:t>
          </a:r>
        </a:p>
      </xdr:txBody>
    </xdr:sp>
    <xdr:clientData/>
  </xdr:one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109.464633101852" createdVersion="8" refreshedVersion="8" minRefreshableVersion="3" recordCount="200" xr:uid="{C002930C-0B12-AF47-AE83-FDC3F1FD4D80}">
  <cacheSource type="worksheet">
    <worksheetSource name="Table1"/>
  </cacheSource>
  <cacheFields count="15">
    <cacheField name="Order ID" numFmtId="0">
      <sharedItems count="200">
        <s v="ORD-1000"/>
        <s v="ORD-1001"/>
        <s v="ORD-1002"/>
        <s v="ORD-1003"/>
        <s v="ORD-1004"/>
        <s v="ORD-1005"/>
        <s v="ORD-1006"/>
        <s v="ORD-1007"/>
        <s v="ORD-1008"/>
        <s v="ORD-1009"/>
        <s v="ORD-1010"/>
        <s v="ORD-1011"/>
        <s v="ORD-1012"/>
        <s v="ORD-1013"/>
        <s v="ORD-1014"/>
        <s v="ORD-1015"/>
        <s v="ORD-1016"/>
        <s v="ORD-1017"/>
        <s v="ORD-1018"/>
        <s v="ORD-1019"/>
        <s v="ORD-1020"/>
        <s v="ORD-1021"/>
        <s v="ORD-1022"/>
        <s v="ORD-1023"/>
        <s v="ORD-1024"/>
        <s v="ORD-1025"/>
        <s v="ORD-1026"/>
        <s v="ORD-1027"/>
        <s v="ORD-1028"/>
        <s v="ORD-1029"/>
        <s v="ORD-1030"/>
        <s v="ORD-1031"/>
        <s v="ORD-1032"/>
        <s v="ORD-1033"/>
        <s v="ORD-1034"/>
        <s v="ORD-1035"/>
        <s v="ORD-1036"/>
        <s v="ORD-1037"/>
        <s v="ORD-1038"/>
        <s v="ORD-1039"/>
        <s v="ORD-1040"/>
        <s v="ORD-1041"/>
        <s v="ORD-1042"/>
        <s v="ORD-1043"/>
        <s v="ORD-1044"/>
        <s v="ORD-1045"/>
        <s v="ORD-1046"/>
        <s v="ORD-1047"/>
        <s v="ORD-1048"/>
        <s v="ORD-1049"/>
        <s v="ORD-1050"/>
        <s v="ORD-1051"/>
        <s v="ORD-1052"/>
        <s v="ORD-1053"/>
        <s v="ORD-1054"/>
        <s v="ORD-1055"/>
        <s v="ORD-1056"/>
        <s v="ORD-1057"/>
        <s v="ORD-1058"/>
        <s v="ORD-1059"/>
        <s v="ORD-1060"/>
        <s v="ORD-1061"/>
        <s v="ORD-1062"/>
        <s v="ORD-1063"/>
        <s v="ORD-1064"/>
        <s v="ORD-1065"/>
        <s v="ORD-1066"/>
        <s v="ORD-1067"/>
        <s v="ORD-1068"/>
        <s v="ORD-1069"/>
        <s v="ORD-1070"/>
        <s v="ORD-1071"/>
        <s v="ORD-1072"/>
        <s v="ORD-1073"/>
        <s v="ORD-1074"/>
        <s v="ORD-1075"/>
        <s v="ORD-1076"/>
        <s v="ORD-1077"/>
        <s v="ORD-1078"/>
        <s v="ORD-1079"/>
        <s v="ORD-1080"/>
        <s v="ORD-1081"/>
        <s v="ORD-1082"/>
        <s v="ORD-1083"/>
        <s v="ORD-1084"/>
        <s v="ORD-1085"/>
        <s v="ORD-1086"/>
        <s v="ORD-1087"/>
        <s v="ORD-1088"/>
        <s v="ORD-1089"/>
        <s v="ORD-1090"/>
        <s v="ORD-1091"/>
        <s v="ORD-1092"/>
        <s v="ORD-1093"/>
        <s v="ORD-1094"/>
        <s v="ORD-1095"/>
        <s v="ORD-1096"/>
        <s v="ORD-1097"/>
        <s v="ORD-1098"/>
        <s v="ORD-1099"/>
        <s v="ORD-1100"/>
        <s v="ORD-1101"/>
        <s v="ORD-1102"/>
        <s v="ORD-1103"/>
        <s v="ORD-1104"/>
        <s v="ORD-1105"/>
        <s v="ORD-1106"/>
        <s v="ORD-1107"/>
        <s v="ORD-1108"/>
        <s v="ORD-1109"/>
        <s v="ORD-1110"/>
        <s v="ORD-1111"/>
        <s v="ORD-1112"/>
        <s v="ORD-1113"/>
        <s v="ORD-1114"/>
        <s v="ORD-1115"/>
        <s v="ORD-1116"/>
        <s v="ORD-1117"/>
        <s v="ORD-1118"/>
        <s v="ORD-1119"/>
        <s v="ORD-1120"/>
        <s v="ORD-1121"/>
        <s v="ORD-1122"/>
        <s v="ORD-1123"/>
        <s v="ORD-1124"/>
        <s v="ORD-1125"/>
        <s v="ORD-1126"/>
        <s v="ORD-1127"/>
        <s v="ORD-1128"/>
        <s v="ORD-1129"/>
        <s v="ORD-1130"/>
        <s v="ORD-1131"/>
        <s v="ORD-1132"/>
        <s v="ORD-1133"/>
        <s v="ORD-1134"/>
        <s v="ORD-1135"/>
        <s v="ORD-1136"/>
        <s v="ORD-1137"/>
        <s v="ORD-1138"/>
        <s v="ORD-1139"/>
        <s v="ORD-1140"/>
        <s v="ORD-1141"/>
        <s v="ORD-1142"/>
        <s v="ORD-1143"/>
        <s v="ORD-1144"/>
        <s v="ORD-1145"/>
        <s v="ORD-1146"/>
        <s v="ORD-1147"/>
        <s v="ORD-1148"/>
        <s v="ORD-1149"/>
        <s v="ORD-1150"/>
        <s v="ORD-1151"/>
        <s v="ORD-1152"/>
        <s v="ORD-1153"/>
        <s v="ORD-1154"/>
        <s v="ORD-1155"/>
        <s v="ORD-1156"/>
        <s v="ORD-1157"/>
        <s v="ORD-1158"/>
        <s v="ORD-1159"/>
        <s v="ORD-1160"/>
        <s v="ORD-1161"/>
        <s v="ORD-1162"/>
        <s v="ORD-1163"/>
        <s v="ORD-1164"/>
        <s v="ORD-1165"/>
        <s v="ORD-1166"/>
        <s v="ORD-1167"/>
        <s v="ORD-1168"/>
        <s v="ORD-1169"/>
        <s v="ORD-1170"/>
        <s v="ORD-1171"/>
        <s v="ORD-1172"/>
        <s v="ORD-1173"/>
        <s v="ORD-1174"/>
        <s v="ORD-1175"/>
        <s v="ORD-1176"/>
        <s v="ORD-1177"/>
        <s v="ORD-1178"/>
        <s v="ORD-1179"/>
        <s v="ORD-1180"/>
        <s v="ORD-1181"/>
        <s v="ORD-1182"/>
        <s v="ORD-1183"/>
        <s v="ORD-1184"/>
        <s v="ORD-1185"/>
        <s v="ORD-1186"/>
        <s v="ORD-1187"/>
        <s v="ORD-1188"/>
        <s v="ORD-1189"/>
        <s v="ORD-1190"/>
        <s v="ORD-1191"/>
        <s v="ORD-1192"/>
        <s v="ORD-1193"/>
        <s v="ORD-1194"/>
        <s v="ORD-1195"/>
        <s v="ORD-1196"/>
        <s v="ORD-1197"/>
        <s v="ORD-1198"/>
        <s v="ORD-1199"/>
      </sharedItems>
    </cacheField>
    <cacheField name="Order Date" numFmtId="166">
      <sharedItems containsSemiMixedTypes="0" containsNonDate="0" containsDate="1" containsString="0" minDate="2023-01-02T00:00:00" maxDate="2024-01-01T00:00:00" count="155">
        <d v="2023-11-24T00:00:00"/>
        <d v="2023-10-07T00:00:00"/>
        <d v="2023-01-14T00:00:00"/>
        <d v="2023-01-04T00:00:00"/>
        <d v="2023-07-14T00:00:00"/>
        <d v="2023-07-13T00:00:00"/>
        <d v="2023-02-05T00:00:00"/>
        <d v="2023-08-21T00:00:00"/>
        <d v="2023-03-29T00:00:00"/>
        <d v="2023-01-29T00:00:00"/>
        <d v="2023-06-11T00:00:00"/>
        <d v="2023-05-07T00:00:00"/>
        <d v="2023-03-12T00:00:00"/>
        <d v="2023-07-17T00:00:00"/>
        <d v="2023-02-28T00:00:00"/>
        <d v="2023-05-15T00:00:00"/>
        <d v="2023-07-11T00:00:00"/>
        <d v="2023-07-05T00:00:00"/>
        <d v="2023-11-07T00:00:00"/>
        <d v="2023-11-29T00:00:00"/>
        <d v="2023-10-29T00:00:00"/>
        <d v="2023-01-17T00:00:00"/>
        <d v="2023-10-20T00:00:00"/>
        <d v="2023-07-30T00:00:00"/>
        <d v="2023-06-23T00:00:00"/>
        <d v="2023-08-25T00:00:00"/>
        <d v="2023-05-02T00:00:00"/>
        <d v="2023-01-02T00:00:00"/>
        <d v="2023-06-01T00:00:00"/>
        <d v="2023-09-02T00:00:00"/>
        <d v="2023-05-01T00:00:00"/>
        <d v="2023-12-03T00:00:00"/>
        <d v="2023-12-10T00:00:00"/>
        <d v="2023-02-07T00:00:00"/>
        <d v="2023-03-22T00:00:00"/>
        <d v="2023-10-11T00:00:00"/>
        <d v="2023-05-25T00:00:00"/>
        <d v="2023-01-27T00:00:00"/>
        <d v="2023-12-20T00:00:00"/>
        <d v="2023-06-07T00:00:00"/>
        <d v="2023-07-28T00:00:00"/>
        <d v="2023-06-20T00:00:00"/>
        <d v="2023-08-29T00:00:00"/>
        <d v="2023-04-09T00:00:00"/>
        <d v="2023-07-24T00:00:00"/>
        <d v="2023-08-11T00:00:00"/>
        <d v="2023-10-23T00:00:00"/>
        <d v="2023-03-05T00:00:00"/>
        <d v="2023-07-27T00:00:00"/>
        <d v="2023-08-27T00:00:00"/>
        <d v="2023-12-06T00:00:00"/>
        <d v="2023-05-06T00:00:00"/>
        <d v="2023-07-16T00:00:00"/>
        <d v="2023-04-23T00:00:00"/>
        <d v="2023-08-26T00:00:00"/>
        <d v="2023-03-23T00:00:00"/>
        <d v="2023-05-03T00:00:00"/>
        <d v="2023-10-04T00:00:00"/>
        <d v="2023-10-27T00:00:00"/>
        <d v="2023-08-03T00:00:00"/>
        <d v="2023-12-14T00:00:00"/>
        <d v="2023-07-21T00:00:00"/>
        <d v="2023-08-04T00:00:00"/>
        <d v="2023-08-31T00:00:00"/>
        <d v="2023-07-12T00:00:00"/>
        <d v="2023-06-04T00:00:00"/>
        <d v="2023-06-24T00:00:00"/>
        <d v="2023-10-31T00:00:00"/>
        <d v="2023-10-19T00:00:00"/>
        <d v="2023-05-13T00:00:00"/>
        <d v="2023-04-08T00:00:00"/>
        <d v="2023-09-09T00:00:00"/>
        <d v="2023-07-08T00:00:00"/>
        <d v="2023-10-02T00:00:00"/>
        <d v="2023-02-21T00:00:00"/>
        <d v="2023-01-24T00:00:00"/>
        <d v="2023-10-21T00:00:00"/>
        <d v="2023-10-16T00:00:00"/>
        <d v="2023-11-13T00:00:00"/>
        <d v="2023-06-06T00:00:00"/>
        <d v="2023-02-11T00:00:00"/>
        <d v="2023-11-01T00:00:00"/>
        <d v="2023-04-30T00:00:00"/>
        <d v="2023-04-26T00:00:00"/>
        <d v="2023-09-10T00:00:00"/>
        <d v="2023-02-16T00:00:00"/>
        <d v="2023-03-31T00:00:00"/>
        <d v="2023-12-22T00:00:00"/>
        <d v="2023-01-28T00:00:00"/>
        <d v="2023-10-09T00:00:00"/>
        <d v="2023-12-30T00:00:00"/>
        <d v="2023-08-01T00:00:00"/>
        <d v="2023-09-18T00:00:00"/>
        <d v="2023-06-26T00:00:00"/>
        <d v="2023-08-14T00:00:00"/>
        <d v="2023-05-16T00:00:00"/>
        <d v="2023-06-12T00:00:00"/>
        <d v="2023-04-03T00:00:00"/>
        <d v="2023-10-26T00:00:00"/>
        <d v="2023-08-06T00:00:00"/>
        <d v="2023-12-18T00:00:00"/>
        <d v="2023-06-30T00:00:00"/>
        <d v="2023-11-27T00:00:00"/>
        <d v="2023-06-17T00:00:00"/>
        <d v="2023-05-20T00:00:00"/>
        <d v="2023-02-08T00:00:00"/>
        <d v="2023-07-22T00:00:00"/>
        <d v="2023-11-23T00:00:00"/>
        <d v="2023-11-09T00:00:00"/>
        <d v="2023-07-09T00:00:00"/>
        <d v="2023-11-12T00:00:00"/>
        <d v="2023-11-26T00:00:00"/>
        <d v="2023-08-16T00:00:00"/>
        <d v="2023-12-26T00:00:00"/>
        <d v="2023-04-27T00:00:00"/>
        <d v="2023-12-07T00:00:00"/>
        <d v="2023-02-17T00:00:00"/>
        <d v="2023-10-15T00:00:00"/>
        <d v="2023-11-04T00:00:00"/>
        <d v="2023-02-25T00:00:00"/>
        <d v="2023-06-08T00:00:00"/>
        <d v="2023-11-21T00:00:00"/>
        <d v="2023-04-15T00:00:00"/>
        <d v="2023-08-09T00:00:00"/>
        <d v="2023-07-01T00:00:00"/>
        <d v="2023-10-22T00:00:00"/>
        <d v="2023-06-16T00:00:00"/>
        <d v="2023-05-05T00:00:00"/>
        <d v="2023-03-28T00:00:00"/>
        <d v="2023-12-02T00:00:00"/>
        <d v="2023-10-17T00:00:00"/>
        <d v="2023-05-21T00:00:00"/>
        <d v="2023-05-27T00:00:00"/>
        <d v="2023-01-22T00:00:00"/>
        <d v="2023-02-01T00:00:00"/>
        <d v="2023-08-13T00:00:00"/>
        <d v="2023-05-26T00:00:00"/>
        <d v="2023-03-14T00:00:00"/>
        <d v="2023-02-13T00:00:00"/>
        <d v="2023-09-06T00:00:00"/>
        <d v="2023-09-27T00:00:00"/>
        <d v="2023-12-21T00:00:00"/>
        <d v="2023-08-18T00:00:00"/>
        <d v="2023-11-06T00:00:00"/>
        <d v="2023-12-31T00:00:00"/>
        <d v="2023-02-10T00:00:00"/>
        <d v="2023-05-28T00:00:00"/>
        <d v="2023-09-13T00:00:00"/>
        <d v="2023-11-11T00:00:00"/>
        <d v="2023-02-04T00:00:00"/>
        <d v="2023-07-02T00:00:00"/>
        <d v="2023-09-03T00:00:00"/>
        <d v="2023-01-23T00:00:00"/>
        <d v="2023-11-28T00:00:00"/>
        <d v="2023-09-12T00:00:00"/>
      </sharedItems>
      <fieldGroup par="12"/>
    </cacheField>
    <cacheField name="Region" numFmtId="0">
      <sharedItems count="4">
        <s v="West"/>
        <s v="Midwest"/>
        <s v="Northeast"/>
        <s v="South"/>
      </sharedItems>
    </cacheField>
    <cacheField name="Category" numFmtId="0">
      <sharedItems count="3">
        <s v="Furniture"/>
        <s v="Office Supplies"/>
        <s v="Technology"/>
      </sharedItems>
    </cacheField>
    <cacheField name="Sub-Category" numFmtId="0">
      <sharedItems count="9">
        <s v="Bookcases"/>
        <s v="Paper"/>
        <s v="Storage"/>
        <s v="Accessories"/>
        <s v="Binders"/>
        <s v="Tables"/>
        <s v="Chairs"/>
        <s v="Copiers"/>
        <s v="Phones"/>
      </sharedItems>
    </cacheField>
    <cacheField name="Segment" numFmtId="0">
      <sharedItems count="3">
        <s v="Corporate"/>
        <s v="Consumer"/>
        <s v="Home Office"/>
      </sharedItems>
    </cacheField>
    <cacheField name="Sales" numFmtId="165">
      <sharedItems containsSemiMixedTypes="0" containsString="0" containsNumber="1" minValue="55.6" maxValue="999.4"/>
    </cacheField>
    <cacheField name="Quantity" numFmtId="0">
      <sharedItems containsSemiMixedTypes="0" containsString="0" containsNumber="1" containsInteger="1" minValue="1" maxValue="10"/>
    </cacheField>
    <cacheField name="Discount" numFmtId="0">
      <sharedItems containsSemiMixedTypes="0" containsString="0" containsNumber="1" minValue="0" maxValue="0.2"/>
    </cacheField>
    <cacheField name="Profit" numFmtId="165">
      <sharedItems containsSemiMixedTypes="0" containsString="0" containsNumber="1" minValue="-133.4" maxValue="253.94" count="198">
        <n v="61.95"/>
        <n v="9.89"/>
        <n v="26.86"/>
        <n v="-7.68"/>
        <n v="10.26"/>
        <n v="-64.989999999999995"/>
        <n v="143"/>
        <n v="50.37"/>
        <n v="52.45"/>
        <n v="21.03"/>
        <n v="58.97"/>
        <n v="4.3600000000000003"/>
        <n v="9.58"/>
        <n v="63.57"/>
        <n v="-32.619999999999997"/>
        <n v="-33.44"/>
        <n v="48.26"/>
        <n v="205.98"/>
        <n v="77.78"/>
        <n v="104.95"/>
        <n v="22.19"/>
        <n v="1.98"/>
        <n v="42.4"/>
        <n v="-2.64"/>
        <n v="101.06"/>
        <n v="-30.28"/>
        <n v="41.79"/>
        <n v="23.07"/>
        <n v="-27.7"/>
        <n v="35.340000000000003"/>
        <n v="-114.23"/>
        <n v="-77.7"/>
        <n v="35.75"/>
        <n v="5.83"/>
        <n v="86.52"/>
        <n v="136.91999999999999"/>
        <n v="-33.479999999999997"/>
        <n v="-19.59"/>
        <n v="14.63"/>
        <n v="56.17"/>
        <n v="-41.11"/>
        <n v="101.22"/>
        <n v="163.4"/>
        <n v="35.82"/>
        <n v="2.0099999999999998"/>
        <n v="106.9"/>
        <n v="16.93"/>
        <n v="91.57"/>
        <n v="10.08"/>
        <n v="-68.05"/>
        <n v="38.81"/>
        <n v="-5.88"/>
        <n v="6.27"/>
        <n v="64.78"/>
        <n v="2.11"/>
        <n v="79.69"/>
        <n v="164.68"/>
        <n v="16.04"/>
        <n v="-34.57"/>
        <n v="-24.46"/>
        <n v="9.6199999999999992"/>
        <n v="6.65"/>
        <n v="13.78"/>
        <n v="7.69"/>
        <n v="-7.41"/>
        <n v="-132.31"/>
        <n v="2.25"/>
        <n v="51.15"/>
        <n v="4.6100000000000003"/>
        <n v="50.53"/>
        <n v="108.23"/>
        <n v="1.44"/>
        <n v="137.38"/>
        <n v="98.15"/>
        <n v="35.479999999999997"/>
        <n v="4.97"/>
        <n v="59.1"/>
        <n v="-40.32"/>
        <n v="158.75"/>
        <n v="31.61"/>
        <n v="30.22"/>
        <n v="17.239999999999998"/>
        <n v="-3.31"/>
        <n v="-0.41"/>
        <n v="-26.09"/>
        <n v="253.94"/>
        <n v="69.23"/>
        <n v="4.49"/>
        <n v="-0.56000000000000005"/>
        <n v="89.03"/>
        <n v="62.87"/>
        <n v="1.53"/>
        <n v="-26.61"/>
        <n v="-58.02"/>
        <n v="3.97"/>
        <n v="52.9"/>
        <n v="-78.23"/>
        <n v="-133.4"/>
        <n v="-37.76"/>
        <n v="30.23"/>
        <n v="134.71"/>
        <n v="-30.08"/>
        <n v="77.55"/>
        <n v="25.44"/>
        <n v="142.55000000000001"/>
        <n v="13.79"/>
        <n v="132.22"/>
        <n v="57.85"/>
        <n v="17.850000000000001"/>
        <n v="118.33"/>
        <n v="-1.23"/>
        <n v="88.26"/>
        <n v="13.77"/>
        <n v="-36.700000000000003"/>
        <n v="21.47"/>
        <n v="29"/>
        <n v="7.81"/>
        <n v="109.15"/>
        <n v="80.02"/>
        <n v="-9.0399999999999991"/>
        <n v="109.24"/>
        <n v="-15.85"/>
        <n v="127.67"/>
        <n v="79.47"/>
        <n v="166.61"/>
        <n v="-19.57"/>
        <n v="126.85"/>
        <n v="-40.44"/>
        <n v="-26.39"/>
        <n v="-33.86"/>
        <n v="-58.98"/>
        <n v="13.83"/>
        <n v="50.86"/>
        <n v="55.33"/>
        <n v="135.57"/>
        <n v="15.76"/>
        <n v="16.88"/>
        <n v="42.33"/>
        <n v="-4.43"/>
        <n v="76.06"/>
        <n v="-70.72"/>
        <n v="35.53"/>
        <n v="20.25"/>
        <n v="-14.01"/>
        <n v="9.4700000000000006"/>
        <n v="25.24"/>
        <n v="239.07"/>
        <n v="-54.54"/>
        <n v="112.73"/>
        <n v="-23.38"/>
        <n v="156.29"/>
        <n v="38.22"/>
        <n v="-72.39"/>
        <n v="-3.76"/>
        <n v="24.26"/>
        <n v="24.38"/>
        <n v="45.18"/>
        <n v="-12.7"/>
        <n v="56.66"/>
        <n v="41.92"/>
        <n v="123.31"/>
        <n v="99.55"/>
        <n v="102.65"/>
        <n v="0.67"/>
        <n v="20.93"/>
        <n v="-32.770000000000003"/>
        <n v="-18.54"/>
        <n v="27.06"/>
        <n v="22.15"/>
        <n v="27.7"/>
        <n v="-39.909999999999997"/>
        <n v="14.56"/>
        <n v="9.41"/>
        <n v="2.21"/>
        <n v="172.13"/>
        <n v="18.48"/>
        <n v="-101.57"/>
        <n v="33.700000000000003"/>
        <n v="5.27"/>
        <n v="7.08"/>
        <n v="23.18"/>
        <n v="88.95"/>
        <n v="107.78"/>
        <n v="64.23"/>
        <n v="-25.1"/>
        <n v="52.15"/>
        <n v="45.2"/>
        <n v="-25.25"/>
        <n v="-23.31"/>
        <n v="21.35"/>
        <n v="89.47"/>
        <n v="22.79"/>
        <n v="53.96"/>
        <n v="97.13"/>
        <n v="-19.79"/>
        <n v="-16.47"/>
        <n v="174.07"/>
        <n v="127.87"/>
      </sharedItems>
    </cacheField>
    <cacheField name="Profit Margin" numFmtId="167">
      <sharedItems containsSemiMixedTypes="0" containsString="0" containsNumber="1" minValue="-14.326086014985492" maxValue="29.221732745961823"/>
    </cacheField>
    <cacheField name="Days (Order Date)" numFmtId="0" databaseField="0">
      <fieldGroup base="1">
        <rangePr groupBy="days" startDate="2023-01-02T00:00:00" endDate="2024-01-01T00:00:00"/>
        <groupItems count="368">
          <s v="&lt;1/2/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4"/>
        </groupItems>
      </fieldGroup>
    </cacheField>
    <cacheField name="Months (Order Date)" numFmtId="0" databaseField="0">
      <fieldGroup base="1">
        <rangePr groupBy="months" startDate="2023-01-02T00:00:00" endDate="2024-01-01T00:00:00"/>
        <groupItems count="14">
          <s v="&lt;1/2/23"/>
          <s v="Jan"/>
          <s v="Feb"/>
          <s v="Mar"/>
          <s v="Apr"/>
          <s v="May"/>
          <s v="Jun"/>
          <s v="Jul"/>
          <s v="Aug"/>
          <s v="Sep"/>
          <s v="Oct"/>
          <s v="Nov"/>
          <s v="Dec"/>
          <s v="&gt;1/1/24"/>
        </groupItems>
      </fieldGroup>
    </cacheField>
    <cacheField name="Margin" numFmtId="0" formula="(Profit/Sales)*100" databaseField="0"/>
    <cacheField name="Margin2" numFmtId="0" formula=" (Profit/Sales)*100" databaseField="0"/>
  </cacheFields>
  <extLst>
    <ext xmlns:x14="http://schemas.microsoft.com/office/spreadsheetml/2009/9/main" uri="{725AE2AE-9491-48be-B2B4-4EB974FC3084}">
      <x14:pivotCacheDefinition pivotCacheId="3339995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x v="0"/>
    <x v="0"/>
    <x v="0"/>
    <x v="0"/>
    <x v="0"/>
    <n v="282.64999999999998"/>
    <n v="3"/>
    <n v="0"/>
    <x v="0"/>
    <n v="21.917565894215464"/>
  </r>
  <r>
    <x v="1"/>
    <x v="1"/>
    <x v="0"/>
    <x v="1"/>
    <x v="1"/>
    <x v="1"/>
    <n v="78.31"/>
    <n v="4"/>
    <n v="0.05"/>
    <x v="1"/>
    <n v="12.629293832205338"/>
  </r>
  <r>
    <x v="2"/>
    <x v="2"/>
    <x v="1"/>
    <x v="1"/>
    <x v="2"/>
    <x v="2"/>
    <n v="567.69000000000005"/>
    <n v="4"/>
    <n v="0.15"/>
    <x v="2"/>
    <n v="4.7314555479222804"/>
  </r>
  <r>
    <x v="3"/>
    <x v="3"/>
    <x v="1"/>
    <x v="1"/>
    <x v="1"/>
    <x v="0"/>
    <n v="313.98"/>
    <n v="4"/>
    <n v="0.1"/>
    <x v="3"/>
    <n v="-2.4460156697878843"/>
  </r>
  <r>
    <x v="4"/>
    <x v="4"/>
    <x v="0"/>
    <x v="2"/>
    <x v="3"/>
    <x v="2"/>
    <n v="301.29000000000002"/>
    <n v="1"/>
    <n v="0.15"/>
    <x v="4"/>
    <n v="3.4053569650502835"/>
  </r>
  <r>
    <x v="5"/>
    <x v="5"/>
    <x v="0"/>
    <x v="1"/>
    <x v="1"/>
    <x v="2"/>
    <n v="637.59"/>
    <n v="6"/>
    <n v="0.2"/>
    <x v="5"/>
    <n v="-10.193070782164085"/>
  </r>
  <r>
    <x v="6"/>
    <x v="6"/>
    <x v="0"/>
    <x v="1"/>
    <x v="4"/>
    <x v="0"/>
    <n v="985.96"/>
    <n v="4"/>
    <n v="0"/>
    <x v="6"/>
    <n v="14.503630978944379"/>
  </r>
  <r>
    <x v="7"/>
    <x v="7"/>
    <x v="2"/>
    <x v="0"/>
    <x v="5"/>
    <x v="0"/>
    <n v="249.03"/>
    <n v="5"/>
    <n v="0"/>
    <x v="7"/>
    <n v="20.226478737501505"/>
  </r>
  <r>
    <x v="8"/>
    <x v="8"/>
    <x v="1"/>
    <x v="0"/>
    <x v="5"/>
    <x v="0"/>
    <n v="306.45"/>
    <n v="9"/>
    <n v="0.05"/>
    <x v="8"/>
    <n v="17.115353238701257"/>
  </r>
  <r>
    <x v="9"/>
    <x v="9"/>
    <x v="1"/>
    <x v="0"/>
    <x v="5"/>
    <x v="0"/>
    <n v="304.35000000000002"/>
    <n v="4"/>
    <n v="0.2"/>
    <x v="9"/>
    <n v="6.9098077870872343"/>
  </r>
  <r>
    <x v="10"/>
    <x v="10"/>
    <x v="1"/>
    <x v="1"/>
    <x v="1"/>
    <x v="0"/>
    <n v="890.45"/>
    <n v="8"/>
    <n v="0.05"/>
    <x v="10"/>
    <n v="6.6224942444831258"/>
  </r>
  <r>
    <x v="11"/>
    <x v="11"/>
    <x v="2"/>
    <x v="1"/>
    <x v="2"/>
    <x v="0"/>
    <n v="902.93"/>
    <n v="7"/>
    <n v="0.1"/>
    <x v="11"/>
    <n v="0.4828724264339429"/>
  </r>
  <r>
    <x v="12"/>
    <x v="12"/>
    <x v="3"/>
    <x v="0"/>
    <x v="6"/>
    <x v="1"/>
    <n v="195.2"/>
    <n v="3"/>
    <n v="0.15"/>
    <x v="12"/>
    <n v="4.9077868852459021"/>
  </r>
  <r>
    <x v="13"/>
    <x v="13"/>
    <x v="3"/>
    <x v="1"/>
    <x v="1"/>
    <x v="2"/>
    <n v="288.83999999999997"/>
    <n v="9"/>
    <n v="0"/>
    <x v="13"/>
    <n v="22.00872455338596"/>
  </r>
  <r>
    <x v="14"/>
    <x v="14"/>
    <x v="2"/>
    <x v="1"/>
    <x v="1"/>
    <x v="1"/>
    <n v="328.83"/>
    <n v="3"/>
    <n v="0.15"/>
    <x v="14"/>
    <n v="-9.9200194629443779"/>
  </r>
  <r>
    <x v="15"/>
    <x v="15"/>
    <x v="1"/>
    <x v="1"/>
    <x v="4"/>
    <x v="2"/>
    <n v="333.52"/>
    <n v="9"/>
    <n v="0.2"/>
    <x v="15"/>
    <n v="-10.026385224274406"/>
  </r>
  <r>
    <x v="16"/>
    <x v="16"/>
    <x v="1"/>
    <x v="1"/>
    <x v="2"/>
    <x v="1"/>
    <n v="619"/>
    <n v="8"/>
    <n v="0"/>
    <x v="16"/>
    <n v="7.7964458804523415"/>
  </r>
  <r>
    <x v="17"/>
    <x v="17"/>
    <x v="2"/>
    <x v="0"/>
    <x v="6"/>
    <x v="1"/>
    <n v="884.11"/>
    <n v="2"/>
    <n v="0"/>
    <x v="17"/>
    <n v="23.298005904242682"/>
  </r>
  <r>
    <x v="18"/>
    <x v="6"/>
    <x v="1"/>
    <x v="0"/>
    <x v="0"/>
    <x v="0"/>
    <n v="949.51"/>
    <n v="3"/>
    <n v="0.1"/>
    <x v="18"/>
    <n v="8.1915935587829498"/>
  </r>
  <r>
    <x v="19"/>
    <x v="18"/>
    <x v="3"/>
    <x v="0"/>
    <x v="0"/>
    <x v="2"/>
    <n v="705.37"/>
    <n v="5"/>
    <n v="0.15"/>
    <x v="19"/>
    <n v="14.878716134794505"/>
  </r>
  <r>
    <x v="20"/>
    <x v="19"/>
    <x v="2"/>
    <x v="2"/>
    <x v="7"/>
    <x v="0"/>
    <n v="164.95"/>
    <n v="4"/>
    <n v="0"/>
    <x v="20"/>
    <n v="13.452561382237043"/>
  </r>
  <r>
    <x v="21"/>
    <x v="20"/>
    <x v="1"/>
    <x v="1"/>
    <x v="4"/>
    <x v="1"/>
    <n v="117.44"/>
    <n v="1"/>
    <n v="0.05"/>
    <x v="21"/>
    <n v="1.6859673024523163"/>
  </r>
  <r>
    <x v="22"/>
    <x v="21"/>
    <x v="2"/>
    <x v="0"/>
    <x v="0"/>
    <x v="1"/>
    <n v="314.55"/>
    <n v="8"/>
    <n v="0.05"/>
    <x v="22"/>
    <n v="13.479573994595453"/>
  </r>
  <r>
    <x v="23"/>
    <x v="22"/>
    <x v="3"/>
    <x v="0"/>
    <x v="5"/>
    <x v="0"/>
    <n v="230.89"/>
    <n v="2"/>
    <n v="0.15"/>
    <x v="23"/>
    <n v="-1.1434016198189614"/>
  </r>
  <r>
    <x v="24"/>
    <x v="23"/>
    <x v="3"/>
    <x v="1"/>
    <x v="4"/>
    <x v="2"/>
    <n v="670.78"/>
    <n v="2"/>
    <n v="0"/>
    <x v="24"/>
    <n v="15.066042517666002"/>
  </r>
  <r>
    <x v="25"/>
    <x v="24"/>
    <x v="0"/>
    <x v="0"/>
    <x v="6"/>
    <x v="1"/>
    <n v="559.47"/>
    <n v="3"/>
    <n v="0.15"/>
    <x v="25"/>
    <n v="-5.4122651795449261"/>
  </r>
  <r>
    <x v="26"/>
    <x v="25"/>
    <x v="1"/>
    <x v="0"/>
    <x v="5"/>
    <x v="2"/>
    <n v="143.01"/>
    <n v="9"/>
    <n v="0"/>
    <x v="26"/>
    <n v="29.221732745961823"/>
  </r>
  <r>
    <x v="27"/>
    <x v="26"/>
    <x v="1"/>
    <x v="2"/>
    <x v="3"/>
    <x v="0"/>
    <n v="253.06"/>
    <n v="7"/>
    <n v="0"/>
    <x v="27"/>
    <n v="9.1164150794278029"/>
  </r>
  <r>
    <x v="28"/>
    <x v="27"/>
    <x v="3"/>
    <x v="2"/>
    <x v="3"/>
    <x v="0"/>
    <n v="451.86"/>
    <n v="9"/>
    <n v="0.15"/>
    <x v="28"/>
    <n v="-6.1302173239498954"/>
  </r>
  <r>
    <x v="29"/>
    <x v="28"/>
    <x v="1"/>
    <x v="0"/>
    <x v="0"/>
    <x v="2"/>
    <n v="565.09"/>
    <n v="6"/>
    <n v="0"/>
    <x v="29"/>
    <n v="6.2538710647861411"/>
  </r>
  <r>
    <x v="30"/>
    <x v="29"/>
    <x v="1"/>
    <x v="0"/>
    <x v="0"/>
    <x v="1"/>
    <n v="858.78"/>
    <n v="2"/>
    <n v="0.2"/>
    <x v="30"/>
    <n v="-13.301427606604719"/>
  </r>
  <r>
    <x v="31"/>
    <x v="30"/>
    <x v="3"/>
    <x v="0"/>
    <x v="0"/>
    <x v="1"/>
    <n v="599.97"/>
    <n v="1"/>
    <n v="0.2"/>
    <x v="31"/>
    <n v="-12.950647532376617"/>
  </r>
  <r>
    <x v="32"/>
    <x v="31"/>
    <x v="2"/>
    <x v="2"/>
    <x v="8"/>
    <x v="2"/>
    <n v="730.38"/>
    <n v="4"/>
    <n v="0.1"/>
    <x v="32"/>
    <n v="4.8947123415208527"/>
  </r>
  <r>
    <x v="33"/>
    <x v="32"/>
    <x v="2"/>
    <x v="2"/>
    <x v="3"/>
    <x v="1"/>
    <n v="58.85"/>
    <n v="10"/>
    <n v="0.2"/>
    <x v="33"/>
    <n v="9.9065420560747661"/>
  </r>
  <r>
    <x v="34"/>
    <x v="33"/>
    <x v="1"/>
    <x v="1"/>
    <x v="1"/>
    <x v="1"/>
    <n v="936.6"/>
    <n v="2"/>
    <n v="0.05"/>
    <x v="34"/>
    <n v="9.2376681614349767"/>
  </r>
  <r>
    <x v="35"/>
    <x v="34"/>
    <x v="3"/>
    <x v="1"/>
    <x v="2"/>
    <x v="0"/>
    <n v="631.09"/>
    <n v="9"/>
    <n v="0"/>
    <x v="35"/>
    <n v="21.695796162195563"/>
  </r>
  <r>
    <x v="36"/>
    <x v="35"/>
    <x v="2"/>
    <x v="1"/>
    <x v="4"/>
    <x v="1"/>
    <n v="301.24"/>
    <n v="2"/>
    <n v="0.2"/>
    <x v="36"/>
    <n v="-11.114061877572698"/>
  </r>
  <r>
    <x v="37"/>
    <x v="36"/>
    <x v="1"/>
    <x v="1"/>
    <x v="1"/>
    <x v="1"/>
    <n v="703.12"/>
    <n v="5"/>
    <n v="0.2"/>
    <x v="37"/>
    <n v="-2.7861531459779267"/>
  </r>
  <r>
    <x v="38"/>
    <x v="37"/>
    <x v="0"/>
    <x v="1"/>
    <x v="1"/>
    <x v="0"/>
    <n v="91.88"/>
    <n v="6"/>
    <n v="0.05"/>
    <x v="38"/>
    <n v="15.922942969090119"/>
  </r>
  <r>
    <x v="39"/>
    <x v="15"/>
    <x v="1"/>
    <x v="1"/>
    <x v="1"/>
    <x v="2"/>
    <n v="720.38"/>
    <n v="9"/>
    <n v="0"/>
    <x v="39"/>
    <n v="7.7972736611232962"/>
  </r>
  <r>
    <x v="40"/>
    <x v="38"/>
    <x v="1"/>
    <x v="1"/>
    <x v="4"/>
    <x v="0"/>
    <n v="603.38"/>
    <n v="3"/>
    <n v="0.15"/>
    <x v="40"/>
    <n v="-6.8132851602638462"/>
  </r>
  <r>
    <x v="41"/>
    <x v="39"/>
    <x v="2"/>
    <x v="0"/>
    <x v="5"/>
    <x v="1"/>
    <n v="697.96"/>
    <n v="2"/>
    <n v="0.1"/>
    <x v="41"/>
    <n v="14.502263740042409"/>
  </r>
  <r>
    <x v="42"/>
    <x v="40"/>
    <x v="1"/>
    <x v="0"/>
    <x v="6"/>
    <x v="1"/>
    <n v="887.35"/>
    <n v="1"/>
    <n v="0.05"/>
    <x v="42"/>
    <n v="18.414379895193555"/>
  </r>
  <r>
    <x v="43"/>
    <x v="41"/>
    <x v="3"/>
    <x v="1"/>
    <x v="2"/>
    <x v="1"/>
    <n v="303.47000000000003"/>
    <n v="2"/>
    <n v="0.15"/>
    <x v="43"/>
    <n v="11.803473160444193"/>
  </r>
  <r>
    <x v="44"/>
    <x v="42"/>
    <x v="1"/>
    <x v="0"/>
    <x v="5"/>
    <x v="0"/>
    <n v="339.93"/>
    <n v="4"/>
    <n v="0.05"/>
    <x v="44"/>
    <n v="0.59129820845468173"/>
  </r>
  <r>
    <x v="45"/>
    <x v="43"/>
    <x v="3"/>
    <x v="2"/>
    <x v="3"/>
    <x v="1"/>
    <n v="968.54"/>
    <n v="5"/>
    <n v="0.1"/>
    <x v="45"/>
    <n v="11.037231296590745"/>
  </r>
  <r>
    <x v="46"/>
    <x v="44"/>
    <x v="2"/>
    <x v="0"/>
    <x v="6"/>
    <x v="0"/>
    <n v="219.64"/>
    <n v="5"/>
    <n v="0"/>
    <x v="46"/>
    <n v="7.7080677472227288"/>
  </r>
  <r>
    <x v="47"/>
    <x v="45"/>
    <x v="2"/>
    <x v="1"/>
    <x v="1"/>
    <x v="0"/>
    <n v="625.9"/>
    <n v="9"/>
    <n v="0"/>
    <x v="47"/>
    <n v="14.630132609042978"/>
  </r>
  <r>
    <x v="48"/>
    <x v="46"/>
    <x v="1"/>
    <x v="2"/>
    <x v="8"/>
    <x v="2"/>
    <n v="464.25"/>
    <n v="9"/>
    <n v="0.2"/>
    <x v="48"/>
    <n v="2.1712439418416802"/>
  </r>
  <r>
    <x v="49"/>
    <x v="32"/>
    <x v="1"/>
    <x v="2"/>
    <x v="3"/>
    <x v="1"/>
    <n v="951.43"/>
    <n v="6"/>
    <n v="0.2"/>
    <x v="49"/>
    <n v="-7.1523916630755817"/>
  </r>
  <r>
    <x v="50"/>
    <x v="47"/>
    <x v="2"/>
    <x v="1"/>
    <x v="1"/>
    <x v="2"/>
    <n v="437.97"/>
    <n v="7"/>
    <n v="0.1"/>
    <x v="50"/>
    <n v="8.8613375345343286"/>
  </r>
  <r>
    <x v="51"/>
    <x v="43"/>
    <x v="3"/>
    <x v="1"/>
    <x v="1"/>
    <x v="2"/>
    <n v="760.73"/>
    <n v="3"/>
    <n v="0.2"/>
    <x v="51"/>
    <n v="-0.77294177960643062"/>
  </r>
  <r>
    <x v="52"/>
    <x v="48"/>
    <x v="0"/>
    <x v="2"/>
    <x v="3"/>
    <x v="1"/>
    <n v="458.39"/>
    <n v="10"/>
    <n v="0.2"/>
    <x v="52"/>
    <n v="1.3678308863631405"/>
  </r>
  <r>
    <x v="53"/>
    <x v="49"/>
    <x v="3"/>
    <x v="2"/>
    <x v="7"/>
    <x v="1"/>
    <n v="535.62"/>
    <n v="3"/>
    <n v="0"/>
    <x v="53"/>
    <n v="12.094395280235988"/>
  </r>
  <r>
    <x v="54"/>
    <x v="50"/>
    <x v="2"/>
    <x v="0"/>
    <x v="6"/>
    <x v="2"/>
    <n v="344.9"/>
    <n v="4"/>
    <n v="0.05"/>
    <x v="54"/>
    <n v="0.61177152797912437"/>
  </r>
  <r>
    <x v="55"/>
    <x v="51"/>
    <x v="3"/>
    <x v="1"/>
    <x v="4"/>
    <x v="0"/>
    <n v="443.72"/>
    <n v="10"/>
    <n v="0.05"/>
    <x v="55"/>
    <n v="17.959524024159375"/>
  </r>
  <r>
    <x v="56"/>
    <x v="52"/>
    <x v="3"/>
    <x v="2"/>
    <x v="8"/>
    <x v="1"/>
    <n v="673.26"/>
    <n v="1"/>
    <n v="0"/>
    <x v="56"/>
    <n v="24.460089712740995"/>
  </r>
  <r>
    <x v="57"/>
    <x v="53"/>
    <x v="1"/>
    <x v="1"/>
    <x v="2"/>
    <x v="0"/>
    <n v="97.71"/>
    <n v="4"/>
    <n v="0"/>
    <x v="57"/>
    <n v="16.415924675058847"/>
  </r>
  <r>
    <x v="58"/>
    <x v="54"/>
    <x v="2"/>
    <x v="2"/>
    <x v="7"/>
    <x v="2"/>
    <n v="897.42"/>
    <n v="7"/>
    <n v="0.2"/>
    <x v="58"/>
    <n v="-3.8521539524414434"/>
  </r>
  <r>
    <x v="59"/>
    <x v="55"/>
    <x v="3"/>
    <x v="2"/>
    <x v="3"/>
    <x v="1"/>
    <n v="847.87"/>
    <n v="5"/>
    <n v="0.2"/>
    <x v="59"/>
    <n v="-2.8848762192317219"/>
  </r>
  <r>
    <x v="60"/>
    <x v="56"/>
    <x v="2"/>
    <x v="2"/>
    <x v="8"/>
    <x v="2"/>
    <n v="321.44"/>
    <n v="5"/>
    <n v="0.1"/>
    <x v="60"/>
    <n v="2.9927824788451964"/>
  </r>
  <r>
    <x v="61"/>
    <x v="57"/>
    <x v="0"/>
    <x v="0"/>
    <x v="6"/>
    <x v="1"/>
    <n v="413.88"/>
    <n v="3"/>
    <n v="0.05"/>
    <x v="61"/>
    <n v="1.6067459166908284"/>
  </r>
  <r>
    <x v="62"/>
    <x v="40"/>
    <x v="2"/>
    <x v="1"/>
    <x v="1"/>
    <x v="0"/>
    <n v="109.15"/>
    <n v="7"/>
    <n v="0.15"/>
    <x v="62"/>
    <n v="12.624828218048554"/>
  </r>
  <r>
    <x v="63"/>
    <x v="58"/>
    <x v="0"/>
    <x v="1"/>
    <x v="1"/>
    <x v="0"/>
    <n v="55.6"/>
    <n v="6"/>
    <n v="0.1"/>
    <x v="63"/>
    <n v="13.830935251798561"/>
  </r>
  <r>
    <x v="64"/>
    <x v="59"/>
    <x v="1"/>
    <x v="2"/>
    <x v="8"/>
    <x v="0"/>
    <n v="464.04"/>
    <n v="1"/>
    <n v="0.15"/>
    <x v="64"/>
    <n v="-1.5968450995603827"/>
  </r>
  <r>
    <x v="65"/>
    <x v="60"/>
    <x v="3"/>
    <x v="1"/>
    <x v="4"/>
    <x v="0"/>
    <n v="923.56"/>
    <n v="10"/>
    <n v="0.2"/>
    <x v="65"/>
    <n v="-14.326086014985492"/>
  </r>
  <r>
    <x v="66"/>
    <x v="61"/>
    <x v="0"/>
    <x v="0"/>
    <x v="0"/>
    <x v="0"/>
    <n v="178.91"/>
    <n v="8"/>
    <n v="0.05"/>
    <x v="66"/>
    <n v="1.2576155608965403"/>
  </r>
  <r>
    <x v="67"/>
    <x v="4"/>
    <x v="2"/>
    <x v="0"/>
    <x v="5"/>
    <x v="0"/>
    <n v="370.63"/>
    <n v="7"/>
    <n v="0.1"/>
    <x v="67"/>
    <n v="13.800825621239509"/>
  </r>
  <r>
    <x v="68"/>
    <x v="62"/>
    <x v="2"/>
    <x v="0"/>
    <x v="5"/>
    <x v="1"/>
    <n v="761.57"/>
    <n v="1"/>
    <n v="0.1"/>
    <x v="68"/>
    <n v="0.60532846619483438"/>
  </r>
  <r>
    <x v="69"/>
    <x v="6"/>
    <x v="0"/>
    <x v="0"/>
    <x v="6"/>
    <x v="1"/>
    <n v="847.27"/>
    <n v="10"/>
    <n v="0.05"/>
    <x v="69"/>
    <n v="5.9638603986922707"/>
  </r>
  <r>
    <x v="70"/>
    <x v="63"/>
    <x v="0"/>
    <x v="1"/>
    <x v="4"/>
    <x v="0"/>
    <n v="714.49"/>
    <n v="6"/>
    <n v="0.05"/>
    <x v="70"/>
    <n v="15.147867709834989"/>
  </r>
  <r>
    <x v="71"/>
    <x v="14"/>
    <x v="1"/>
    <x v="2"/>
    <x v="8"/>
    <x v="2"/>
    <n v="74.39"/>
    <n v="5"/>
    <n v="0.2"/>
    <x v="71"/>
    <n v="1.9357440516198412"/>
  </r>
  <r>
    <x v="72"/>
    <x v="64"/>
    <x v="3"/>
    <x v="1"/>
    <x v="4"/>
    <x v="1"/>
    <n v="612.49"/>
    <n v="4"/>
    <n v="0"/>
    <x v="72"/>
    <n v="22.429753955166614"/>
  </r>
  <r>
    <x v="73"/>
    <x v="65"/>
    <x v="0"/>
    <x v="1"/>
    <x v="4"/>
    <x v="0"/>
    <n v="556.11"/>
    <n v="6"/>
    <n v="0"/>
    <x v="73"/>
    <n v="17.649385912858968"/>
  </r>
  <r>
    <x v="74"/>
    <x v="66"/>
    <x v="0"/>
    <x v="2"/>
    <x v="3"/>
    <x v="1"/>
    <n v="461.85"/>
    <n v="6"/>
    <n v="0.15"/>
    <x v="74"/>
    <n v="7.6821478835119619"/>
  </r>
  <r>
    <x v="75"/>
    <x v="45"/>
    <x v="1"/>
    <x v="1"/>
    <x v="2"/>
    <x v="2"/>
    <n v="306.58"/>
    <n v="9"/>
    <n v="0.15"/>
    <x v="75"/>
    <n v="1.6211103137843303"/>
  </r>
  <r>
    <x v="76"/>
    <x v="67"/>
    <x v="2"/>
    <x v="2"/>
    <x v="8"/>
    <x v="1"/>
    <n v="314.98"/>
    <n v="8"/>
    <n v="0.05"/>
    <x v="76"/>
    <n v="18.763096069591718"/>
  </r>
  <r>
    <x v="77"/>
    <x v="68"/>
    <x v="3"/>
    <x v="2"/>
    <x v="8"/>
    <x v="0"/>
    <n v="858.41"/>
    <n v="3"/>
    <n v="0.15"/>
    <x v="77"/>
    <n v="-4.6970561852727721"/>
  </r>
  <r>
    <x v="78"/>
    <x v="69"/>
    <x v="2"/>
    <x v="2"/>
    <x v="7"/>
    <x v="2"/>
    <n v="886.1"/>
    <n v="9"/>
    <n v="0"/>
    <x v="78"/>
    <n v="17.915585148403114"/>
  </r>
  <r>
    <x v="79"/>
    <x v="70"/>
    <x v="0"/>
    <x v="0"/>
    <x v="0"/>
    <x v="0"/>
    <n v="514.15"/>
    <n v="4"/>
    <n v="0.15"/>
    <x v="79"/>
    <n v="6.1480112807546439"/>
  </r>
  <r>
    <x v="80"/>
    <x v="71"/>
    <x v="3"/>
    <x v="0"/>
    <x v="6"/>
    <x v="0"/>
    <n v="260.52"/>
    <n v="4"/>
    <n v="0.1"/>
    <x v="80"/>
    <n v="11.599877168739443"/>
  </r>
  <r>
    <x v="81"/>
    <x v="72"/>
    <x v="3"/>
    <x v="1"/>
    <x v="2"/>
    <x v="0"/>
    <n v="454.23"/>
    <n v="9"/>
    <n v="0.1"/>
    <x v="81"/>
    <n v="3.7954340312176646"/>
  </r>
  <r>
    <x v="82"/>
    <x v="7"/>
    <x v="2"/>
    <x v="2"/>
    <x v="3"/>
    <x v="1"/>
    <n v="164.62"/>
    <n v="4"/>
    <n v="0.1"/>
    <x v="82"/>
    <n v="-2.0106912890292796"/>
  </r>
  <r>
    <x v="83"/>
    <x v="73"/>
    <x v="1"/>
    <x v="0"/>
    <x v="6"/>
    <x v="2"/>
    <n v="509.99"/>
    <n v="10"/>
    <n v="0.2"/>
    <x v="83"/>
    <n v="-8.0393733210455107E-2"/>
  </r>
  <r>
    <x v="84"/>
    <x v="74"/>
    <x v="1"/>
    <x v="2"/>
    <x v="8"/>
    <x v="0"/>
    <n v="220.47"/>
    <n v="1"/>
    <n v="0.2"/>
    <x v="84"/>
    <n v="-11.83380958860616"/>
  </r>
  <r>
    <x v="85"/>
    <x v="75"/>
    <x v="0"/>
    <x v="1"/>
    <x v="1"/>
    <x v="2"/>
    <n v="946.89"/>
    <n v="8"/>
    <n v="0"/>
    <x v="85"/>
    <n v="26.818321029897877"/>
  </r>
  <r>
    <x v="86"/>
    <x v="76"/>
    <x v="2"/>
    <x v="2"/>
    <x v="3"/>
    <x v="0"/>
    <n v="373.67"/>
    <n v="1"/>
    <n v="0.1"/>
    <x v="86"/>
    <n v="18.527042577675488"/>
  </r>
  <r>
    <x v="87"/>
    <x v="29"/>
    <x v="0"/>
    <x v="0"/>
    <x v="5"/>
    <x v="0"/>
    <n v="120.38"/>
    <n v="1"/>
    <n v="0.05"/>
    <x v="87"/>
    <n v="3.7298554577172292"/>
  </r>
  <r>
    <x v="88"/>
    <x v="77"/>
    <x v="2"/>
    <x v="0"/>
    <x v="6"/>
    <x v="1"/>
    <n v="580.16999999999996"/>
    <n v="7"/>
    <n v="0.2"/>
    <x v="88"/>
    <n v="-9.6523432786941782E-2"/>
  </r>
  <r>
    <x v="89"/>
    <x v="78"/>
    <x v="1"/>
    <x v="1"/>
    <x v="1"/>
    <x v="0"/>
    <n v="913.08"/>
    <n v="5"/>
    <n v="0.2"/>
    <x v="89"/>
    <n v="9.7505147413151079"/>
  </r>
  <r>
    <x v="90"/>
    <x v="79"/>
    <x v="0"/>
    <x v="1"/>
    <x v="2"/>
    <x v="1"/>
    <n v="950.21"/>
    <n v="4"/>
    <n v="0.05"/>
    <x v="90"/>
    <n v="6.6164321571021141"/>
  </r>
  <r>
    <x v="91"/>
    <x v="80"/>
    <x v="1"/>
    <x v="0"/>
    <x v="6"/>
    <x v="2"/>
    <n v="121.31"/>
    <n v="1"/>
    <n v="0.15"/>
    <x v="91"/>
    <n v="1.2612315555189184"/>
  </r>
  <r>
    <x v="92"/>
    <x v="81"/>
    <x v="3"/>
    <x v="2"/>
    <x v="8"/>
    <x v="1"/>
    <n v="323.7"/>
    <n v="5"/>
    <n v="0.15"/>
    <x v="92"/>
    <n v="-8.2205746061167737"/>
  </r>
  <r>
    <x v="93"/>
    <x v="82"/>
    <x v="2"/>
    <x v="1"/>
    <x v="2"/>
    <x v="2"/>
    <n v="813.71"/>
    <n v="4"/>
    <n v="0.15"/>
    <x v="93"/>
    <n v="-7.1303044082043971"/>
  </r>
  <r>
    <x v="94"/>
    <x v="83"/>
    <x v="1"/>
    <x v="2"/>
    <x v="8"/>
    <x v="1"/>
    <n v="106.66"/>
    <n v="5"/>
    <n v="0.2"/>
    <x v="94"/>
    <n v="3.722107631726983"/>
  </r>
  <r>
    <x v="95"/>
    <x v="68"/>
    <x v="2"/>
    <x v="2"/>
    <x v="8"/>
    <x v="0"/>
    <n v="704.24"/>
    <n v="7"/>
    <n v="0.1"/>
    <x v="95"/>
    <n v="7.5116437578098374"/>
  </r>
  <r>
    <x v="96"/>
    <x v="84"/>
    <x v="3"/>
    <x v="0"/>
    <x v="0"/>
    <x v="1"/>
    <n v="894.95"/>
    <n v="6"/>
    <n v="0.2"/>
    <x v="96"/>
    <n v="-8.7412704620369848"/>
  </r>
  <r>
    <x v="97"/>
    <x v="85"/>
    <x v="1"/>
    <x v="1"/>
    <x v="2"/>
    <x v="2"/>
    <n v="953.25"/>
    <n v="5"/>
    <n v="0.2"/>
    <x v="97"/>
    <n v="-13.994230264883294"/>
  </r>
  <r>
    <x v="98"/>
    <x v="86"/>
    <x v="3"/>
    <x v="1"/>
    <x v="2"/>
    <x v="0"/>
    <n v="920.27"/>
    <n v="3"/>
    <n v="0.2"/>
    <x v="98"/>
    <n v="-4.1031436426266206"/>
  </r>
  <r>
    <x v="99"/>
    <x v="71"/>
    <x v="0"/>
    <x v="2"/>
    <x v="3"/>
    <x v="0"/>
    <n v="366.64"/>
    <n v="2"/>
    <n v="0.05"/>
    <x v="99"/>
    <n v="8.2451451014619241"/>
  </r>
  <r>
    <x v="100"/>
    <x v="87"/>
    <x v="3"/>
    <x v="2"/>
    <x v="7"/>
    <x v="0"/>
    <n v="822.89"/>
    <n v="9"/>
    <n v="0"/>
    <x v="100"/>
    <n v="16.370353267143848"/>
  </r>
  <r>
    <x v="101"/>
    <x v="10"/>
    <x v="2"/>
    <x v="2"/>
    <x v="8"/>
    <x v="0"/>
    <n v="871.67"/>
    <n v="1"/>
    <n v="0.2"/>
    <x v="101"/>
    <n v="-3.4508472242935975"/>
  </r>
  <r>
    <x v="102"/>
    <x v="88"/>
    <x v="1"/>
    <x v="1"/>
    <x v="1"/>
    <x v="2"/>
    <n v="768.62"/>
    <n v="8"/>
    <n v="0"/>
    <x v="102"/>
    <n v="10.089511071791001"/>
  </r>
  <r>
    <x v="103"/>
    <x v="89"/>
    <x v="1"/>
    <x v="2"/>
    <x v="3"/>
    <x v="2"/>
    <n v="510.48"/>
    <n v="1"/>
    <n v="0.2"/>
    <x v="103"/>
    <n v="4.983544898918665"/>
  </r>
  <r>
    <x v="104"/>
    <x v="90"/>
    <x v="1"/>
    <x v="2"/>
    <x v="7"/>
    <x v="1"/>
    <n v="574.64"/>
    <n v="2"/>
    <n v="0.05"/>
    <x v="104"/>
    <n v="24.806835584017826"/>
  </r>
  <r>
    <x v="105"/>
    <x v="14"/>
    <x v="3"/>
    <x v="0"/>
    <x v="0"/>
    <x v="1"/>
    <n v="523.46"/>
    <n v="5"/>
    <n v="0.2"/>
    <x v="105"/>
    <n v="2.6343942230542923"/>
  </r>
  <r>
    <x v="106"/>
    <x v="91"/>
    <x v="3"/>
    <x v="2"/>
    <x v="8"/>
    <x v="0"/>
    <n v="573.70000000000005"/>
    <n v="7"/>
    <n v="0.05"/>
    <x v="106"/>
    <n v="23.046888617744465"/>
  </r>
  <r>
    <x v="107"/>
    <x v="92"/>
    <x v="1"/>
    <x v="0"/>
    <x v="5"/>
    <x v="0"/>
    <n v="372.88"/>
    <n v="9"/>
    <n v="0.1"/>
    <x v="107"/>
    <n v="15.51437459772581"/>
  </r>
  <r>
    <x v="108"/>
    <x v="36"/>
    <x v="2"/>
    <x v="1"/>
    <x v="2"/>
    <x v="2"/>
    <n v="515.16"/>
    <n v="3"/>
    <n v="0.15"/>
    <x v="108"/>
    <n v="3.4649429303517363"/>
  </r>
  <r>
    <x v="109"/>
    <x v="93"/>
    <x v="2"/>
    <x v="1"/>
    <x v="2"/>
    <x v="0"/>
    <n v="482.58"/>
    <n v="6"/>
    <n v="0.05"/>
    <x v="109"/>
    <n v="24.52028679182726"/>
  </r>
  <r>
    <x v="110"/>
    <x v="56"/>
    <x v="3"/>
    <x v="0"/>
    <x v="5"/>
    <x v="1"/>
    <n v="352.27"/>
    <n v="8"/>
    <n v="0.15"/>
    <x v="110"/>
    <n v="-0.34916399352769184"/>
  </r>
  <r>
    <x v="111"/>
    <x v="50"/>
    <x v="1"/>
    <x v="2"/>
    <x v="8"/>
    <x v="1"/>
    <n v="527.17999999999995"/>
    <n v="10"/>
    <n v="0.1"/>
    <x v="111"/>
    <n v="16.741909784134453"/>
  </r>
  <r>
    <x v="112"/>
    <x v="94"/>
    <x v="0"/>
    <x v="1"/>
    <x v="1"/>
    <x v="1"/>
    <n v="736.32"/>
    <n v="7"/>
    <n v="0.05"/>
    <x v="112"/>
    <n v="1.8701108213820075"/>
  </r>
  <r>
    <x v="113"/>
    <x v="95"/>
    <x v="2"/>
    <x v="1"/>
    <x v="2"/>
    <x v="0"/>
    <n v="667.34"/>
    <n v="6"/>
    <n v="0.2"/>
    <x v="113"/>
    <n v="-5.4994455599844159"/>
  </r>
  <r>
    <x v="114"/>
    <x v="96"/>
    <x v="3"/>
    <x v="1"/>
    <x v="4"/>
    <x v="2"/>
    <n v="115"/>
    <n v="5"/>
    <n v="0.05"/>
    <x v="114"/>
    <n v="18.669565217391305"/>
  </r>
  <r>
    <x v="115"/>
    <x v="45"/>
    <x v="0"/>
    <x v="1"/>
    <x v="2"/>
    <x v="1"/>
    <n v="471.49"/>
    <n v="5"/>
    <n v="0"/>
    <x v="115"/>
    <n v="6.1507136948821817"/>
  </r>
  <r>
    <x v="116"/>
    <x v="9"/>
    <x v="2"/>
    <x v="2"/>
    <x v="3"/>
    <x v="0"/>
    <n v="188.29"/>
    <n v="9"/>
    <n v="0.15"/>
    <x v="116"/>
    <n v="4.1478570290509316"/>
  </r>
  <r>
    <x v="117"/>
    <x v="97"/>
    <x v="1"/>
    <x v="0"/>
    <x v="6"/>
    <x v="2"/>
    <n v="877.3"/>
    <n v="10"/>
    <n v="0.05"/>
    <x v="117"/>
    <n v="12.44158212698051"/>
  </r>
  <r>
    <x v="118"/>
    <x v="98"/>
    <x v="1"/>
    <x v="0"/>
    <x v="5"/>
    <x v="2"/>
    <n v="291.27999999999997"/>
    <n v="5"/>
    <n v="0"/>
    <x v="118"/>
    <n v="27.471848393298544"/>
  </r>
  <r>
    <x v="119"/>
    <x v="49"/>
    <x v="2"/>
    <x v="1"/>
    <x v="2"/>
    <x v="1"/>
    <n v="120.17"/>
    <n v="6"/>
    <n v="0.2"/>
    <x v="119"/>
    <n v="-7.5226762087043353"/>
  </r>
  <r>
    <x v="120"/>
    <x v="99"/>
    <x v="2"/>
    <x v="2"/>
    <x v="3"/>
    <x v="1"/>
    <n v="999.4"/>
    <n v="8"/>
    <n v="0"/>
    <x v="120"/>
    <n v="10.930558335001001"/>
  </r>
  <r>
    <x v="121"/>
    <x v="22"/>
    <x v="2"/>
    <x v="1"/>
    <x v="1"/>
    <x v="2"/>
    <n v="330.47"/>
    <n v="7"/>
    <n v="0.1"/>
    <x v="121"/>
    <n v="-4.7961993524374371"/>
  </r>
  <r>
    <x v="122"/>
    <x v="100"/>
    <x v="0"/>
    <x v="1"/>
    <x v="2"/>
    <x v="0"/>
    <n v="841.2"/>
    <n v="5"/>
    <n v="0.05"/>
    <x v="122"/>
    <n v="15.177127912505943"/>
  </r>
  <r>
    <x v="123"/>
    <x v="101"/>
    <x v="1"/>
    <x v="1"/>
    <x v="4"/>
    <x v="2"/>
    <n v="288.10000000000002"/>
    <n v="3"/>
    <n v="0"/>
    <x v="123"/>
    <n v="27.584172162443593"/>
  </r>
  <r>
    <x v="124"/>
    <x v="102"/>
    <x v="0"/>
    <x v="2"/>
    <x v="3"/>
    <x v="1"/>
    <n v="600.6"/>
    <n v="3"/>
    <n v="0"/>
    <x v="124"/>
    <n v="27.740592740592742"/>
  </r>
  <r>
    <x v="125"/>
    <x v="103"/>
    <x v="3"/>
    <x v="0"/>
    <x v="6"/>
    <x v="1"/>
    <n v="797.19"/>
    <n v="6"/>
    <n v="0.2"/>
    <x v="125"/>
    <n v="-2.4548727405010098"/>
  </r>
  <r>
    <x v="126"/>
    <x v="104"/>
    <x v="1"/>
    <x v="2"/>
    <x v="3"/>
    <x v="0"/>
    <n v="759.23"/>
    <n v="6"/>
    <n v="0"/>
    <x v="126"/>
    <n v="16.707717029095267"/>
  </r>
  <r>
    <x v="127"/>
    <x v="105"/>
    <x v="1"/>
    <x v="0"/>
    <x v="0"/>
    <x v="2"/>
    <n v="690.69"/>
    <n v="7"/>
    <n v="0.2"/>
    <x v="127"/>
    <n v="-5.8550145506667244"/>
  </r>
  <r>
    <x v="128"/>
    <x v="106"/>
    <x v="0"/>
    <x v="2"/>
    <x v="7"/>
    <x v="1"/>
    <n v="482.05"/>
    <n v="5"/>
    <n v="0.2"/>
    <x v="128"/>
    <n v="-5.47453583653148"/>
  </r>
  <r>
    <x v="129"/>
    <x v="107"/>
    <x v="2"/>
    <x v="0"/>
    <x v="0"/>
    <x v="1"/>
    <n v="497.9"/>
    <n v="10"/>
    <n v="0.2"/>
    <x v="129"/>
    <n v="-6.8005623619200639"/>
  </r>
  <r>
    <x v="130"/>
    <x v="108"/>
    <x v="1"/>
    <x v="1"/>
    <x v="4"/>
    <x v="2"/>
    <n v="832.66"/>
    <n v="5"/>
    <n v="0.15"/>
    <x v="130"/>
    <n v="-7.0833233252468002"/>
  </r>
  <r>
    <x v="131"/>
    <x v="75"/>
    <x v="0"/>
    <x v="2"/>
    <x v="3"/>
    <x v="1"/>
    <n v="142.33000000000001"/>
    <n v="9"/>
    <n v="0.05"/>
    <x v="131"/>
    <n v="9.7168551956720286"/>
  </r>
  <r>
    <x v="132"/>
    <x v="109"/>
    <x v="3"/>
    <x v="1"/>
    <x v="2"/>
    <x v="2"/>
    <n v="196.8"/>
    <n v="7"/>
    <n v="0"/>
    <x v="132"/>
    <n v="25.843495934959346"/>
  </r>
  <r>
    <x v="133"/>
    <x v="110"/>
    <x v="3"/>
    <x v="2"/>
    <x v="8"/>
    <x v="2"/>
    <n v="402"/>
    <n v="8"/>
    <n v="0.15"/>
    <x v="133"/>
    <n v="13.763681592039802"/>
  </r>
  <r>
    <x v="134"/>
    <x v="17"/>
    <x v="0"/>
    <x v="1"/>
    <x v="1"/>
    <x v="2"/>
    <n v="906.61"/>
    <n v="6"/>
    <n v="0"/>
    <x v="134"/>
    <n v="14.953508123669492"/>
  </r>
  <r>
    <x v="135"/>
    <x v="70"/>
    <x v="0"/>
    <x v="2"/>
    <x v="8"/>
    <x v="2"/>
    <n v="251.5"/>
    <n v="10"/>
    <n v="0"/>
    <x v="135"/>
    <n v="6.2664015904572556"/>
  </r>
  <r>
    <x v="136"/>
    <x v="41"/>
    <x v="1"/>
    <x v="0"/>
    <x v="0"/>
    <x v="1"/>
    <n v="115.18"/>
    <n v="9"/>
    <n v="0.05"/>
    <x v="136"/>
    <n v="14.655322104532035"/>
  </r>
  <r>
    <x v="137"/>
    <x v="82"/>
    <x v="2"/>
    <x v="0"/>
    <x v="0"/>
    <x v="1"/>
    <n v="313.41000000000003"/>
    <n v="3"/>
    <n v="0.05"/>
    <x v="137"/>
    <n v="13.50626974250981"/>
  </r>
  <r>
    <x v="138"/>
    <x v="86"/>
    <x v="0"/>
    <x v="1"/>
    <x v="4"/>
    <x v="1"/>
    <n v="64.12"/>
    <n v="4"/>
    <n v="0.2"/>
    <x v="138"/>
    <n v="-6.9089207735495943"/>
  </r>
  <r>
    <x v="139"/>
    <x v="86"/>
    <x v="2"/>
    <x v="0"/>
    <x v="6"/>
    <x v="2"/>
    <n v="449.91"/>
    <n v="2"/>
    <n v="0"/>
    <x v="139"/>
    <n v="16.905603342890799"/>
  </r>
  <r>
    <x v="140"/>
    <x v="17"/>
    <x v="0"/>
    <x v="2"/>
    <x v="7"/>
    <x v="1"/>
    <n v="948.14"/>
    <n v="1"/>
    <n v="0.2"/>
    <x v="140"/>
    <n v="-7.4588140991836642"/>
  </r>
  <r>
    <x v="141"/>
    <x v="111"/>
    <x v="0"/>
    <x v="0"/>
    <x v="5"/>
    <x v="0"/>
    <n v="454.96"/>
    <n v="2"/>
    <n v="0.15"/>
    <x v="141"/>
    <n v="7.8094777562862676"/>
  </r>
  <r>
    <x v="142"/>
    <x v="112"/>
    <x v="0"/>
    <x v="0"/>
    <x v="5"/>
    <x v="2"/>
    <n v="190.92"/>
    <n v="3"/>
    <n v="0.1"/>
    <x v="142"/>
    <n v="10.606536769327468"/>
  </r>
  <r>
    <x v="143"/>
    <x v="58"/>
    <x v="2"/>
    <x v="2"/>
    <x v="7"/>
    <x v="2"/>
    <n v="330.15"/>
    <n v="9"/>
    <n v="0.2"/>
    <x v="143"/>
    <n v="-4.243525670149932"/>
  </r>
  <r>
    <x v="144"/>
    <x v="113"/>
    <x v="0"/>
    <x v="1"/>
    <x v="2"/>
    <x v="2"/>
    <n v="734.8"/>
    <n v="4"/>
    <n v="0.15"/>
    <x v="144"/>
    <n v="1.2887860642351661"/>
  </r>
  <r>
    <x v="145"/>
    <x v="114"/>
    <x v="3"/>
    <x v="2"/>
    <x v="3"/>
    <x v="0"/>
    <n v="445.19"/>
    <n v="2"/>
    <n v="0.1"/>
    <x v="145"/>
    <n v="5.6694894314786941"/>
  </r>
  <r>
    <x v="146"/>
    <x v="115"/>
    <x v="2"/>
    <x v="2"/>
    <x v="8"/>
    <x v="2"/>
    <n v="926.84"/>
    <n v="2"/>
    <n v="0"/>
    <x v="146"/>
    <n v="25.794096068361313"/>
  </r>
  <r>
    <x v="147"/>
    <x v="116"/>
    <x v="3"/>
    <x v="0"/>
    <x v="0"/>
    <x v="2"/>
    <n v="404.01"/>
    <n v="3"/>
    <n v="0.2"/>
    <x v="147"/>
    <n v="-13.499665849855202"/>
  </r>
  <r>
    <x v="148"/>
    <x v="117"/>
    <x v="2"/>
    <x v="1"/>
    <x v="4"/>
    <x v="0"/>
    <n v="385.92"/>
    <n v="7"/>
    <n v="0"/>
    <x v="148"/>
    <n v="29.210717247097847"/>
  </r>
  <r>
    <x v="149"/>
    <x v="118"/>
    <x v="2"/>
    <x v="2"/>
    <x v="8"/>
    <x v="2"/>
    <n v="532.04"/>
    <n v="3"/>
    <n v="0.15"/>
    <x v="149"/>
    <n v="-4.3944064356063457"/>
  </r>
  <r>
    <x v="150"/>
    <x v="119"/>
    <x v="2"/>
    <x v="1"/>
    <x v="1"/>
    <x v="1"/>
    <n v="774.48"/>
    <n v="10"/>
    <n v="0.05"/>
    <x v="150"/>
    <n v="20.179991736390868"/>
  </r>
  <r>
    <x v="151"/>
    <x v="117"/>
    <x v="0"/>
    <x v="1"/>
    <x v="2"/>
    <x v="2"/>
    <n v="304.08"/>
    <n v="3"/>
    <n v="0.1"/>
    <x v="151"/>
    <n v="12.569060773480663"/>
  </r>
  <r>
    <x v="152"/>
    <x v="120"/>
    <x v="2"/>
    <x v="2"/>
    <x v="8"/>
    <x v="1"/>
    <n v="876.37"/>
    <n v="10"/>
    <n v="0.15"/>
    <x v="152"/>
    <n v="-8.2602097287675296"/>
  </r>
  <r>
    <x v="153"/>
    <x v="121"/>
    <x v="0"/>
    <x v="0"/>
    <x v="0"/>
    <x v="2"/>
    <n v="254.38"/>
    <n v="7"/>
    <n v="0.15"/>
    <x v="153"/>
    <n v="-1.4781036244987813"/>
  </r>
  <r>
    <x v="154"/>
    <x v="109"/>
    <x v="2"/>
    <x v="1"/>
    <x v="1"/>
    <x v="2"/>
    <n v="616.41"/>
    <n v="1"/>
    <n v="0.05"/>
    <x v="154"/>
    <n v="3.9356921529501476"/>
  </r>
  <r>
    <x v="155"/>
    <x v="78"/>
    <x v="0"/>
    <x v="1"/>
    <x v="4"/>
    <x v="0"/>
    <n v="470.96"/>
    <n v="7"/>
    <n v="0.15"/>
    <x v="155"/>
    <n v="5.1766604382537791"/>
  </r>
  <r>
    <x v="156"/>
    <x v="91"/>
    <x v="2"/>
    <x v="0"/>
    <x v="0"/>
    <x v="1"/>
    <n v="377.91"/>
    <n v="2"/>
    <n v="0.1"/>
    <x v="156"/>
    <n v="11.955227435103595"/>
  </r>
  <r>
    <x v="157"/>
    <x v="67"/>
    <x v="3"/>
    <x v="1"/>
    <x v="2"/>
    <x v="0"/>
    <n v="93.15"/>
    <n v="7"/>
    <n v="0.2"/>
    <x v="157"/>
    <n v="-13.633923778851313"/>
  </r>
  <r>
    <x v="158"/>
    <x v="122"/>
    <x v="2"/>
    <x v="0"/>
    <x v="6"/>
    <x v="0"/>
    <n v="324.97000000000003"/>
    <n v="2"/>
    <n v="0"/>
    <x v="158"/>
    <n v="17.435455580515121"/>
  </r>
  <r>
    <x v="159"/>
    <x v="123"/>
    <x v="1"/>
    <x v="0"/>
    <x v="5"/>
    <x v="2"/>
    <n v="718.49"/>
    <n v="9"/>
    <n v="0.2"/>
    <x v="159"/>
    <n v="5.8344583779871675"/>
  </r>
  <r>
    <x v="160"/>
    <x v="124"/>
    <x v="0"/>
    <x v="2"/>
    <x v="7"/>
    <x v="1"/>
    <n v="464.41"/>
    <n v="8"/>
    <n v="0"/>
    <x v="160"/>
    <n v="26.551969165177322"/>
  </r>
  <r>
    <x v="161"/>
    <x v="125"/>
    <x v="3"/>
    <x v="1"/>
    <x v="1"/>
    <x v="2"/>
    <n v="658.13"/>
    <n v="5"/>
    <n v="0"/>
    <x v="161"/>
    <n v="15.126190874143406"/>
  </r>
  <r>
    <x v="162"/>
    <x v="126"/>
    <x v="1"/>
    <x v="1"/>
    <x v="1"/>
    <x v="2"/>
    <n v="923.78"/>
    <n v="2"/>
    <n v="0.15"/>
    <x v="162"/>
    <n v="11.111953062417459"/>
  </r>
  <r>
    <x v="163"/>
    <x v="127"/>
    <x v="3"/>
    <x v="1"/>
    <x v="1"/>
    <x v="2"/>
    <n v="124.71"/>
    <n v="5"/>
    <n v="0.1"/>
    <x v="163"/>
    <n v="0.53724641167508624"/>
  </r>
  <r>
    <x v="164"/>
    <x v="128"/>
    <x v="0"/>
    <x v="1"/>
    <x v="2"/>
    <x v="1"/>
    <n v="554.07000000000005"/>
    <n v="4"/>
    <n v="0.1"/>
    <x v="164"/>
    <n v="3.7775010377750102"/>
  </r>
  <r>
    <x v="165"/>
    <x v="102"/>
    <x v="1"/>
    <x v="0"/>
    <x v="6"/>
    <x v="1"/>
    <n v="293.17"/>
    <n v="3"/>
    <n v="0.2"/>
    <x v="165"/>
    <n v="-11.177814919671182"/>
  </r>
  <r>
    <x v="166"/>
    <x v="129"/>
    <x v="0"/>
    <x v="0"/>
    <x v="0"/>
    <x v="0"/>
    <n v="490.76"/>
    <n v="10"/>
    <n v="0.2"/>
    <x v="166"/>
    <n v="-3.7778140027712124"/>
  </r>
  <r>
    <x v="167"/>
    <x v="130"/>
    <x v="2"/>
    <x v="1"/>
    <x v="1"/>
    <x v="1"/>
    <n v="467.77"/>
    <n v="8"/>
    <n v="0.15"/>
    <x v="167"/>
    <n v="5.7848942856532055"/>
  </r>
  <r>
    <x v="168"/>
    <x v="131"/>
    <x v="0"/>
    <x v="2"/>
    <x v="7"/>
    <x v="1"/>
    <n v="344.89"/>
    <n v="8"/>
    <n v="0"/>
    <x v="168"/>
    <n v="6.4223375569022005"/>
  </r>
  <r>
    <x v="169"/>
    <x v="132"/>
    <x v="0"/>
    <x v="1"/>
    <x v="4"/>
    <x v="2"/>
    <n v="614.38"/>
    <n v="7"/>
    <n v="0.15"/>
    <x v="169"/>
    <n v="4.5086103063250755"/>
  </r>
  <r>
    <x v="170"/>
    <x v="133"/>
    <x v="3"/>
    <x v="1"/>
    <x v="2"/>
    <x v="1"/>
    <n v="355.45"/>
    <n v="8"/>
    <n v="0.2"/>
    <x v="170"/>
    <n v="-11.228020818680545"/>
  </r>
  <r>
    <x v="171"/>
    <x v="134"/>
    <x v="3"/>
    <x v="0"/>
    <x v="5"/>
    <x v="2"/>
    <n v="130.11000000000001"/>
    <n v="3"/>
    <n v="0"/>
    <x v="171"/>
    <n v="11.190531089078471"/>
  </r>
  <r>
    <x v="172"/>
    <x v="135"/>
    <x v="3"/>
    <x v="1"/>
    <x v="2"/>
    <x v="2"/>
    <n v="200.81"/>
    <n v="6"/>
    <n v="0.1"/>
    <x v="172"/>
    <n v="4.6860216124694984"/>
  </r>
  <r>
    <x v="173"/>
    <x v="24"/>
    <x v="0"/>
    <x v="1"/>
    <x v="2"/>
    <x v="0"/>
    <n v="112.62"/>
    <n v="2"/>
    <n v="0.2"/>
    <x v="173"/>
    <n v="1.9623512697567038"/>
  </r>
  <r>
    <x v="174"/>
    <x v="136"/>
    <x v="2"/>
    <x v="1"/>
    <x v="2"/>
    <x v="2"/>
    <n v="879.62"/>
    <n v="6"/>
    <n v="0"/>
    <x v="174"/>
    <n v="19.568677383415565"/>
  </r>
  <r>
    <x v="175"/>
    <x v="137"/>
    <x v="2"/>
    <x v="2"/>
    <x v="7"/>
    <x v="2"/>
    <n v="679.03"/>
    <n v="3"/>
    <n v="0.2"/>
    <x v="175"/>
    <n v="2.7215292402397542"/>
  </r>
  <r>
    <x v="176"/>
    <x v="138"/>
    <x v="2"/>
    <x v="1"/>
    <x v="1"/>
    <x v="2"/>
    <n v="802.08"/>
    <n v="3"/>
    <n v="0.2"/>
    <x v="176"/>
    <n v="-12.66332535407939"/>
  </r>
  <r>
    <x v="177"/>
    <x v="32"/>
    <x v="3"/>
    <x v="1"/>
    <x v="1"/>
    <x v="1"/>
    <n v="394.47"/>
    <n v="3"/>
    <n v="0.05"/>
    <x v="177"/>
    <n v="8.5431084746622048"/>
  </r>
  <r>
    <x v="178"/>
    <x v="139"/>
    <x v="1"/>
    <x v="0"/>
    <x v="6"/>
    <x v="1"/>
    <n v="123.31"/>
    <n v="2"/>
    <n v="0.2"/>
    <x v="178"/>
    <n v="4.2737815262346928"/>
  </r>
  <r>
    <x v="179"/>
    <x v="140"/>
    <x v="0"/>
    <x v="1"/>
    <x v="1"/>
    <x v="2"/>
    <n v="174.5"/>
    <n v="7"/>
    <n v="0.05"/>
    <x v="179"/>
    <n v="4.0573065902578795"/>
  </r>
  <r>
    <x v="180"/>
    <x v="141"/>
    <x v="1"/>
    <x v="1"/>
    <x v="1"/>
    <x v="1"/>
    <n v="440.32"/>
    <n v="4"/>
    <n v="0.15"/>
    <x v="180"/>
    <n v="5.2643531976744189"/>
  </r>
  <r>
    <x v="181"/>
    <x v="142"/>
    <x v="1"/>
    <x v="1"/>
    <x v="4"/>
    <x v="0"/>
    <n v="967.32"/>
    <n v="8"/>
    <n v="0.05"/>
    <x v="181"/>
    <n v="9.195509242029523"/>
  </r>
  <r>
    <x v="182"/>
    <x v="22"/>
    <x v="3"/>
    <x v="2"/>
    <x v="3"/>
    <x v="0"/>
    <n v="527.76"/>
    <n v="7"/>
    <n v="0.05"/>
    <x v="182"/>
    <n v="20.422161588600879"/>
  </r>
  <r>
    <x v="183"/>
    <x v="143"/>
    <x v="1"/>
    <x v="2"/>
    <x v="8"/>
    <x v="2"/>
    <n v="506.56"/>
    <n v="6"/>
    <n v="0.2"/>
    <x v="137"/>
    <n v="8.3563644977890075"/>
  </r>
  <r>
    <x v="184"/>
    <x v="144"/>
    <x v="0"/>
    <x v="2"/>
    <x v="8"/>
    <x v="1"/>
    <n v="309.14999999999998"/>
    <n v="9"/>
    <n v="0.05"/>
    <x v="183"/>
    <n v="20.776322173702088"/>
  </r>
  <r>
    <x v="185"/>
    <x v="85"/>
    <x v="1"/>
    <x v="2"/>
    <x v="3"/>
    <x v="1"/>
    <n v="444.15"/>
    <n v="7"/>
    <n v="0.2"/>
    <x v="184"/>
    <n v="-5.6512439491162905"/>
  </r>
  <r>
    <x v="186"/>
    <x v="13"/>
    <x v="0"/>
    <x v="2"/>
    <x v="8"/>
    <x v="1"/>
    <n v="352.75"/>
    <n v="2"/>
    <n v="0.1"/>
    <x v="185"/>
    <n v="14.783841247342311"/>
  </r>
  <r>
    <x v="187"/>
    <x v="12"/>
    <x v="0"/>
    <x v="2"/>
    <x v="3"/>
    <x v="2"/>
    <n v="839.55"/>
    <n v="8"/>
    <n v="0.15"/>
    <x v="186"/>
    <n v="5.3838365791197669"/>
  </r>
  <r>
    <x v="188"/>
    <x v="145"/>
    <x v="0"/>
    <x v="2"/>
    <x v="8"/>
    <x v="1"/>
    <n v="571.36"/>
    <n v="10"/>
    <n v="0.2"/>
    <x v="187"/>
    <n v="-4.4192803136376364"/>
  </r>
  <r>
    <x v="189"/>
    <x v="146"/>
    <x v="1"/>
    <x v="2"/>
    <x v="8"/>
    <x v="1"/>
    <n v="276.52"/>
    <n v="10"/>
    <n v="0.15"/>
    <x v="188"/>
    <n v="-8.42976999855345"/>
  </r>
  <r>
    <x v="190"/>
    <x v="147"/>
    <x v="0"/>
    <x v="1"/>
    <x v="2"/>
    <x v="2"/>
    <n v="279.83999999999997"/>
    <n v="3"/>
    <n v="0.1"/>
    <x v="57"/>
    <n v="5.731846769582619"/>
  </r>
  <r>
    <x v="191"/>
    <x v="148"/>
    <x v="2"/>
    <x v="0"/>
    <x v="0"/>
    <x v="0"/>
    <n v="227.95"/>
    <n v="2"/>
    <n v="0.2"/>
    <x v="189"/>
    <n v="9.3660890546172411"/>
  </r>
  <r>
    <x v="192"/>
    <x v="149"/>
    <x v="0"/>
    <x v="2"/>
    <x v="3"/>
    <x v="1"/>
    <n v="653.89"/>
    <n v="6"/>
    <n v="0.1"/>
    <x v="190"/>
    <n v="13.682729511079845"/>
  </r>
  <r>
    <x v="193"/>
    <x v="150"/>
    <x v="0"/>
    <x v="2"/>
    <x v="8"/>
    <x v="2"/>
    <n v="674.25"/>
    <n v="2"/>
    <n v="0.2"/>
    <x v="191"/>
    <n v="3.3800519095291066"/>
  </r>
  <r>
    <x v="194"/>
    <x v="41"/>
    <x v="1"/>
    <x v="0"/>
    <x v="5"/>
    <x v="2"/>
    <n v="371.62"/>
    <n v="3"/>
    <n v="0.15"/>
    <x v="192"/>
    <n v="14.520208815456648"/>
  </r>
  <r>
    <x v="195"/>
    <x v="151"/>
    <x v="1"/>
    <x v="0"/>
    <x v="6"/>
    <x v="2"/>
    <n v="787.38"/>
    <n v="8"/>
    <n v="0"/>
    <x v="193"/>
    <n v="12.335848002235261"/>
  </r>
  <r>
    <x v="196"/>
    <x v="152"/>
    <x v="1"/>
    <x v="0"/>
    <x v="5"/>
    <x v="0"/>
    <n v="539.61"/>
    <n v="9"/>
    <n v="0.15"/>
    <x v="194"/>
    <n v="-3.6674635384814955"/>
  </r>
  <r>
    <x v="197"/>
    <x v="153"/>
    <x v="1"/>
    <x v="2"/>
    <x v="3"/>
    <x v="1"/>
    <n v="872.51"/>
    <n v="6"/>
    <n v="0.1"/>
    <x v="195"/>
    <n v="-1.8876574480521713"/>
  </r>
  <r>
    <x v="198"/>
    <x v="72"/>
    <x v="3"/>
    <x v="2"/>
    <x v="7"/>
    <x v="0"/>
    <n v="899.91"/>
    <n v="7"/>
    <n v="0.1"/>
    <x v="196"/>
    <n v="19.343045415652675"/>
  </r>
  <r>
    <x v="199"/>
    <x v="154"/>
    <x v="3"/>
    <x v="2"/>
    <x v="7"/>
    <x v="0"/>
    <n v="811.09"/>
    <n v="7"/>
    <n v="0"/>
    <x v="197"/>
    <n v="15.76520484779740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5AC4723-B34C-844A-A1E4-92944A65DECB}" name="Sales_Category"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F3:P8" firstHeaderRow="1" firstDataRow="2" firstDataCol="1"/>
  <pivotFields count="15">
    <pivotField showAll="0"/>
    <pivotField numFmtId="166" showAll="0">
      <items count="156">
        <item x="27"/>
        <item x="3"/>
        <item x="2"/>
        <item x="21"/>
        <item x="133"/>
        <item x="152"/>
        <item x="75"/>
        <item x="37"/>
        <item x="88"/>
        <item x="9"/>
        <item x="134"/>
        <item x="149"/>
        <item x="6"/>
        <item x="33"/>
        <item x="105"/>
        <item x="145"/>
        <item x="80"/>
        <item x="138"/>
        <item x="85"/>
        <item x="116"/>
        <item x="74"/>
        <item x="119"/>
        <item x="14"/>
        <item x="47"/>
        <item x="12"/>
        <item x="137"/>
        <item x="34"/>
        <item x="55"/>
        <item x="128"/>
        <item x="8"/>
        <item x="86"/>
        <item x="97"/>
        <item x="70"/>
        <item x="43"/>
        <item x="122"/>
        <item x="53"/>
        <item x="83"/>
        <item x="114"/>
        <item x="82"/>
        <item x="30"/>
        <item x="26"/>
        <item x="56"/>
        <item x="127"/>
        <item x="51"/>
        <item x="11"/>
        <item x="69"/>
        <item x="15"/>
        <item x="95"/>
        <item x="104"/>
        <item x="131"/>
        <item x="36"/>
        <item x="136"/>
        <item x="132"/>
        <item x="146"/>
        <item x="28"/>
        <item x="65"/>
        <item x="79"/>
        <item x="39"/>
        <item x="120"/>
        <item x="10"/>
        <item x="96"/>
        <item x="126"/>
        <item x="103"/>
        <item x="41"/>
        <item x="24"/>
        <item x="66"/>
        <item x="93"/>
        <item x="101"/>
        <item x="124"/>
        <item x="150"/>
        <item x="17"/>
        <item x="72"/>
        <item x="109"/>
        <item x="16"/>
        <item x="64"/>
        <item x="5"/>
        <item x="4"/>
        <item x="52"/>
        <item x="13"/>
        <item x="61"/>
        <item x="106"/>
        <item x="44"/>
        <item x="48"/>
        <item x="40"/>
        <item x="23"/>
        <item x="91"/>
        <item x="59"/>
        <item x="62"/>
        <item x="99"/>
        <item x="123"/>
        <item x="45"/>
        <item x="135"/>
        <item x="94"/>
        <item x="112"/>
        <item x="142"/>
        <item x="7"/>
        <item x="25"/>
        <item x="54"/>
        <item x="49"/>
        <item x="42"/>
        <item x="63"/>
        <item x="29"/>
        <item x="151"/>
        <item x="139"/>
        <item x="71"/>
        <item x="84"/>
        <item x="154"/>
        <item x="147"/>
        <item x="92"/>
        <item x="140"/>
        <item x="73"/>
        <item x="57"/>
        <item x="1"/>
        <item x="89"/>
        <item x="35"/>
        <item x="117"/>
        <item x="77"/>
        <item x="130"/>
        <item x="68"/>
        <item x="22"/>
        <item x="76"/>
        <item x="125"/>
        <item x="46"/>
        <item x="98"/>
        <item x="58"/>
        <item x="20"/>
        <item x="67"/>
        <item x="81"/>
        <item x="118"/>
        <item x="143"/>
        <item x="18"/>
        <item x="108"/>
        <item x="148"/>
        <item x="110"/>
        <item x="78"/>
        <item x="121"/>
        <item x="107"/>
        <item x="0"/>
        <item x="111"/>
        <item x="102"/>
        <item x="153"/>
        <item x="19"/>
        <item x="129"/>
        <item x="31"/>
        <item x="50"/>
        <item x="115"/>
        <item x="32"/>
        <item x="60"/>
        <item x="100"/>
        <item x="38"/>
        <item x="141"/>
        <item x="87"/>
        <item x="113"/>
        <item x="90"/>
        <item x="144"/>
        <item t="default"/>
      </items>
    </pivotField>
    <pivotField showAll="0">
      <items count="5">
        <item x="1"/>
        <item x="2"/>
        <item x="3"/>
        <item x="0"/>
        <item t="default"/>
      </items>
    </pivotField>
    <pivotField axis="axisRow" showAll="0">
      <items count="4">
        <item x="0"/>
        <item x="1"/>
        <item x="2"/>
        <item t="default"/>
      </items>
    </pivotField>
    <pivotField axis="axisCol" showAll="0">
      <items count="10">
        <item x="3"/>
        <item x="4"/>
        <item x="0"/>
        <item x="6"/>
        <item x="7"/>
        <item x="1"/>
        <item x="8"/>
        <item x="2"/>
        <item x="5"/>
        <item t="default"/>
      </items>
    </pivotField>
    <pivotField showAll="0">
      <items count="4">
        <item x="1"/>
        <item x="0"/>
        <item x="2"/>
        <item t="default"/>
      </items>
    </pivotField>
    <pivotField dataField="1" numFmtId="165" showAll="0"/>
    <pivotField showAll="0"/>
    <pivotField showAll="0"/>
    <pivotField numFmtId="165" showAll="0"/>
    <pivotField numFmtId="167"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s>
  <rowFields count="1">
    <field x="3"/>
  </rowFields>
  <rowItems count="4">
    <i>
      <x/>
    </i>
    <i>
      <x v="1"/>
    </i>
    <i>
      <x v="2"/>
    </i>
    <i t="grand">
      <x/>
    </i>
  </rowItems>
  <colFields count="1">
    <field x="4"/>
  </colFields>
  <colItems count="10">
    <i>
      <x/>
    </i>
    <i>
      <x v="1"/>
    </i>
    <i>
      <x v="2"/>
    </i>
    <i>
      <x v="3"/>
    </i>
    <i>
      <x v="4"/>
    </i>
    <i>
      <x v="5"/>
    </i>
    <i>
      <x v="6"/>
    </i>
    <i>
      <x v="7"/>
    </i>
    <i>
      <x v="8"/>
    </i>
    <i t="grand">
      <x/>
    </i>
  </colItems>
  <dataFields count="1">
    <dataField name="Sum of Sales" fld="6" baseField="0" baseItem="0" numFmtId="168"/>
  </dataFields>
  <formats count="3">
    <format dxfId="21">
      <pivotArea outline="0" fieldPosition="0">
        <references count="1">
          <reference field="4294967294" count="1">
            <x v="0"/>
          </reference>
        </references>
      </pivotArea>
    </format>
    <format dxfId="22">
      <pivotArea collapsedLevelsAreSubtotals="1" fieldPosition="0">
        <references count="1">
          <reference field="3" count="0"/>
        </references>
      </pivotArea>
    </format>
    <format dxfId="23">
      <pivotArea outline="0" collapsedLevelsAreSubtotals="1" fieldPosition="0"/>
    </format>
  </formats>
  <chartFormats count="9">
    <chartFormat chart="11" format="18" series="1">
      <pivotArea type="data" outline="0" fieldPosition="0">
        <references count="2">
          <reference field="4294967294" count="1" selected="0">
            <x v="0"/>
          </reference>
          <reference field="4" count="1" selected="0">
            <x v="0"/>
          </reference>
        </references>
      </pivotArea>
    </chartFormat>
    <chartFormat chart="11" format="19" series="1">
      <pivotArea type="data" outline="0" fieldPosition="0">
        <references count="2">
          <reference field="4294967294" count="1" selected="0">
            <x v="0"/>
          </reference>
          <reference field="4" count="1" selected="0">
            <x v="1"/>
          </reference>
        </references>
      </pivotArea>
    </chartFormat>
    <chartFormat chart="11" format="20" series="1">
      <pivotArea type="data" outline="0" fieldPosition="0">
        <references count="2">
          <reference field="4294967294" count="1" selected="0">
            <x v="0"/>
          </reference>
          <reference field="4" count="1" selected="0">
            <x v="2"/>
          </reference>
        </references>
      </pivotArea>
    </chartFormat>
    <chartFormat chart="11" format="21" series="1">
      <pivotArea type="data" outline="0" fieldPosition="0">
        <references count="2">
          <reference field="4294967294" count="1" selected="0">
            <x v="0"/>
          </reference>
          <reference field="4" count="1" selected="0">
            <x v="3"/>
          </reference>
        </references>
      </pivotArea>
    </chartFormat>
    <chartFormat chart="11" format="22" series="1">
      <pivotArea type="data" outline="0" fieldPosition="0">
        <references count="2">
          <reference field="4294967294" count="1" selected="0">
            <x v="0"/>
          </reference>
          <reference field="4" count="1" selected="0">
            <x v="4"/>
          </reference>
        </references>
      </pivotArea>
    </chartFormat>
    <chartFormat chart="11" format="23" series="1">
      <pivotArea type="data" outline="0" fieldPosition="0">
        <references count="2">
          <reference field="4294967294" count="1" selected="0">
            <x v="0"/>
          </reference>
          <reference field="4" count="1" selected="0">
            <x v="5"/>
          </reference>
        </references>
      </pivotArea>
    </chartFormat>
    <chartFormat chart="11" format="24" series="1">
      <pivotArea type="data" outline="0" fieldPosition="0">
        <references count="2">
          <reference field="4294967294" count="1" selected="0">
            <x v="0"/>
          </reference>
          <reference field="4" count="1" selected="0">
            <x v="6"/>
          </reference>
        </references>
      </pivotArea>
    </chartFormat>
    <chartFormat chart="11" format="25" series="1">
      <pivotArea type="data" outline="0" fieldPosition="0">
        <references count="2">
          <reference field="4294967294" count="1" selected="0">
            <x v="0"/>
          </reference>
          <reference field="4" count="1" selected="0">
            <x v="7"/>
          </reference>
        </references>
      </pivotArea>
    </chartFormat>
    <chartFormat chart="11" format="26" series="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A00141C-DD3A-B34D-8C8E-7DBD213C05B9}" name="Sales_Region"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C8" firstHeaderRow="0" firstDataRow="1" firstDataCol="1"/>
  <pivotFields count="15">
    <pivotField showAll="0"/>
    <pivotField numFmtId="166" showAll="0">
      <items count="156">
        <item x="27"/>
        <item x="3"/>
        <item x="2"/>
        <item x="21"/>
        <item x="133"/>
        <item x="152"/>
        <item x="75"/>
        <item x="37"/>
        <item x="88"/>
        <item x="9"/>
        <item x="134"/>
        <item x="149"/>
        <item x="6"/>
        <item x="33"/>
        <item x="105"/>
        <item x="145"/>
        <item x="80"/>
        <item x="138"/>
        <item x="85"/>
        <item x="116"/>
        <item x="74"/>
        <item x="119"/>
        <item x="14"/>
        <item x="47"/>
        <item x="12"/>
        <item x="137"/>
        <item x="34"/>
        <item x="55"/>
        <item x="128"/>
        <item x="8"/>
        <item x="86"/>
        <item x="97"/>
        <item x="70"/>
        <item x="43"/>
        <item x="122"/>
        <item x="53"/>
        <item x="83"/>
        <item x="114"/>
        <item x="82"/>
        <item x="30"/>
        <item x="26"/>
        <item x="56"/>
        <item x="127"/>
        <item x="51"/>
        <item x="11"/>
        <item x="69"/>
        <item x="15"/>
        <item x="95"/>
        <item x="104"/>
        <item x="131"/>
        <item x="36"/>
        <item x="136"/>
        <item x="132"/>
        <item x="146"/>
        <item x="28"/>
        <item x="65"/>
        <item x="79"/>
        <item x="39"/>
        <item x="120"/>
        <item x="10"/>
        <item x="96"/>
        <item x="126"/>
        <item x="103"/>
        <item x="41"/>
        <item x="24"/>
        <item x="66"/>
        <item x="93"/>
        <item x="101"/>
        <item x="124"/>
        <item x="150"/>
        <item x="17"/>
        <item x="72"/>
        <item x="109"/>
        <item x="16"/>
        <item x="64"/>
        <item x="5"/>
        <item x="4"/>
        <item x="52"/>
        <item x="13"/>
        <item x="61"/>
        <item x="106"/>
        <item x="44"/>
        <item x="48"/>
        <item x="40"/>
        <item x="23"/>
        <item x="91"/>
        <item x="59"/>
        <item x="62"/>
        <item x="99"/>
        <item x="123"/>
        <item x="45"/>
        <item x="135"/>
        <item x="94"/>
        <item x="112"/>
        <item x="142"/>
        <item x="7"/>
        <item x="25"/>
        <item x="54"/>
        <item x="49"/>
        <item x="42"/>
        <item x="63"/>
        <item x="29"/>
        <item x="151"/>
        <item x="139"/>
        <item x="71"/>
        <item x="84"/>
        <item x="154"/>
        <item x="147"/>
        <item x="92"/>
        <item x="140"/>
        <item x="73"/>
        <item x="57"/>
        <item x="1"/>
        <item x="89"/>
        <item x="35"/>
        <item x="117"/>
        <item x="77"/>
        <item x="130"/>
        <item x="68"/>
        <item x="22"/>
        <item x="76"/>
        <item x="125"/>
        <item x="46"/>
        <item x="98"/>
        <item x="58"/>
        <item x="20"/>
        <item x="67"/>
        <item x="81"/>
        <item x="118"/>
        <item x="143"/>
        <item x="18"/>
        <item x="108"/>
        <item x="148"/>
        <item x="110"/>
        <item x="78"/>
        <item x="121"/>
        <item x="107"/>
        <item x="0"/>
        <item x="111"/>
        <item x="102"/>
        <item x="153"/>
        <item x="19"/>
        <item x="129"/>
        <item x="31"/>
        <item x="50"/>
        <item x="115"/>
        <item x="32"/>
        <item x="60"/>
        <item x="100"/>
        <item x="38"/>
        <item x="141"/>
        <item x="87"/>
        <item x="113"/>
        <item x="90"/>
        <item x="144"/>
        <item t="default"/>
      </items>
    </pivotField>
    <pivotField axis="axisRow" showAll="0">
      <items count="5">
        <item x="1"/>
        <item x="2"/>
        <item x="3"/>
        <item x="0"/>
        <item t="default"/>
      </items>
    </pivotField>
    <pivotField showAll="0">
      <items count="4">
        <item x="0"/>
        <item x="1"/>
        <item x="2"/>
        <item t="default"/>
      </items>
    </pivotField>
    <pivotField showAll="0"/>
    <pivotField showAll="0">
      <items count="4">
        <item x="1"/>
        <item x="0"/>
        <item x="2"/>
        <item t="default"/>
      </items>
    </pivotField>
    <pivotField dataField="1" numFmtId="165" showAll="0"/>
    <pivotField showAll="0"/>
    <pivotField showAll="0"/>
    <pivotField dataField="1" numFmtId="165" showAll="0"/>
    <pivotField numFmtId="167"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s>
  <rowFields count="1">
    <field x="2"/>
  </rowFields>
  <rowItems count="5">
    <i>
      <x/>
    </i>
    <i>
      <x v="1"/>
    </i>
    <i>
      <x v="2"/>
    </i>
    <i>
      <x v="3"/>
    </i>
    <i t="grand">
      <x/>
    </i>
  </rowItems>
  <colFields count="1">
    <field x="-2"/>
  </colFields>
  <colItems count="2">
    <i>
      <x/>
    </i>
    <i i="1">
      <x v="1"/>
    </i>
  </colItems>
  <dataFields count="2">
    <dataField name="Sum of Sales" fld="6" baseField="0" baseItem="0" numFmtId="165"/>
    <dataField name="Sum of Profit" fld="9" baseField="0" baseItem="0" numFmtId="165"/>
  </dataFields>
  <formats count="1">
    <format dxfId="20">
      <pivotArea outline="0" collapsedLevelsAreSubtotals="1" fieldPosition="0"/>
    </format>
  </formats>
  <chartFormats count="2">
    <chartFormat chart="6" format="7" series="1">
      <pivotArea type="data" outline="0" fieldPosition="0">
        <references count="1">
          <reference field="4294967294" count="1" selected="0">
            <x v="0"/>
          </reference>
        </references>
      </pivotArea>
    </chartFormat>
    <chartFormat chart="6" format="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7D93F4D-1185-AF4B-A83C-39F0D2A44E8D}" name="Profit_Margin_Category"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D3:AE7" firstHeaderRow="1" firstDataRow="1" firstDataCol="1"/>
  <pivotFields count="15">
    <pivotField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numFmtId="166" showAll="0">
      <items count="156">
        <item x="27"/>
        <item x="3"/>
        <item x="2"/>
        <item x="21"/>
        <item x="133"/>
        <item x="152"/>
        <item x="75"/>
        <item x="37"/>
        <item x="88"/>
        <item x="9"/>
        <item x="134"/>
        <item x="149"/>
        <item x="6"/>
        <item x="33"/>
        <item x="105"/>
        <item x="145"/>
        <item x="80"/>
        <item x="138"/>
        <item x="85"/>
        <item x="116"/>
        <item x="74"/>
        <item x="119"/>
        <item x="14"/>
        <item x="47"/>
        <item x="12"/>
        <item x="137"/>
        <item x="34"/>
        <item x="55"/>
        <item x="128"/>
        <item x="8"/>
        <item x="86"/>
        <item x="97"/>
        <item x="70"/>
        <item x="43"/>
        <item x="122"/>
        <item x="53"/>
        <item x="83"/>
        <item x="114"/>
        <item x="82"/>
        <item x="30"/>
        <item x="26"/>
        <item x="56"/>
        <item x="127"/>
        <item x="51"/>
        <item x="11"/>
        <item x="69"/>
        <item x="15"/>
        <item x="95"/>
        <item x="104"/>
        <item x="131"/>
        <item x="36"/>
        <item x="136"/>
        <item x="132"/>
        <item x="146"/>
        <item x="28"/>
        <item x="65"/>
        <item x="79"/>
        <item x="39"/>
        <item x="120"/>
        <item x="10"/>
        <item x="96"/>
        <item x="126"/>
        <item x="103"/>
        <item x="41"/>
        <item x="24"/>
        <item x="66"/>
        <item x="93"/>
        <item x="101"/>
        <item x="124"/>
        <item x="150"/>
        <item x="17"/>
        <item x="72"/>
        <item x="109"/>
        <item x="16"/>
        <item x="64"/>
        <item x="5"/>
        <item x="4"/>
        <item x="52"/>
        <item x="13"/>
        <item x="61"/>
        <item x="106"/>
        <item x="44"/>
        <item x="48"/>
        <item x="40"/>
        <item x="23"/>
        <item x="91"/>
        <item x="59"/>
        <item x="62"/>
        <item x="99"/>
        <item x="123"/>
        <item x="45"/>
        <item x="135"/>
        <item x="94"/>
        <item x="112"/>
        <item x="142"/>
        <item x="7"/>
        <item x="25"/>
        <item x="54"/>
        <item x="49"/>
        <item x="42"/>
        <item x="63"/>
        <item x="29"/>
        <item x="151"/>
        <item x="139"/>
        <item x="71"/>
        <item x="84"/>
        <item x="154"/>
        <item x="147"/>
        <item x="92"/>
        <item x="140"/>
        <item x="73"/>
        <item x="57"/>
        <item x="1"/>
        <item x="89"/>
        <item x="35"/>
        <item x="117"/>
        <item x="77"/>
        <item x="130"/>
        <item x="68"/>
        <item x="22"/>
        <item x="76"/>
        <item x="125"/>
        <item x="46"/>
        <item x="98"/>
        <item x="58"/>
        <item x="20"/>
        <item x="67"/>
        <item x="81"/>
        <item x="118"/>
        <item x="143"/>
        <item x="18"/>
        <item x="108"/>
        <item x="148"/>
        <item x="110"/>
        <item x="78"/>
        <item x="121"/>
        <item x="107"/>
        <item x="0"/>
        <item x="111"/>
        <item x="102"/>
        <item x="153"/>
        <item x="19"/>
        <item x="129"/>
        <item x="31"/>
        <item x="50"/>
        <item x="115"/>
        <item x="32"/>
        <item x="60"/>
        <item x="100"/>
        <item x="38"/>
        <item x="141"/>
        <item x="87"/>
        <item x="113"/>
        <item x="90"/>
        <item x="144"/>
        <item t="default"/>
      </items>
    </pivotField>
    <pivotField showAll="0">
      <items count="5">
        <item x="1"/>
        <item x="2"/>
        <item x="3"/>
        <item x="0"/>
        <item t="default"/>
      </items>
    </pivotField>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items count="10">
        <item x="3"/>
        <item x="4"/>
        <item x="0"/>
        <item x="6"/>
        <item x="7"/>
        <item x="1"/>
        <item x="8"/>
        <item x="2"/>
        <item x="5"/>
        <item t="default"/>
      </items>
    </pivotField>
    <pivotField showAll="0">
      <items count="4">
        <item x="1"/>
        <item x="0"/>
        <item x="2"/>
        <item t="default"/>
      </items>
    </pivotField>
    <pivotField numFmtId="165" showAll="0"/>
    <pivotField showAll="0"/>
    <pivotField showAll="0"/>
    <pivotField numFmtId="165" showAll="0"/>
    <pivotField numFmtId="167"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 dataField="1" dragToRow="0" dragToCol="0" dragToPage="0" showAll="0" defaultSubtotal="0"/>
  </pivotFields>
  <rowFields count="1">
    <field x="3"/>
  </rowFields>
  <rowItems count="4">
    <i>
      <x v="2"/>
    </i>
    <i>
      <x v="1"/>
    </i>
    <i>
      <x/>
    </i>
    <i t="grand">
      <x/>
    </i>
  </rowItems>
  <colItems count="1">
    <i/>
  </colItems>
  <dataFields count="1">
    <dataField name="Sum of Margin2" fld="14" baseField="0" baseItem="0" numFmtId="169"/>
  </dataFields>
  <chartFormats count="1">
    <chartFormat chart="2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6D3B74-1E14-3442-8909-BFFABA85BCEB}" name="PivotTable4"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Y3:Z16" firstHeaderRow="1" firstDataRow="1" firstDataCol="1"/>
  <pivotFields count="15">
    <pivotField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axis="axisRow" numFmtId="166" showAll="0">
      <items count="156">
        <item x="27"/>
        <item x="3"/>
        <item x="2"/>
        <item x="21"/>
        <item x="133"/>
        <item x="152"/>
        <item x="75"/>
        <item x="37"/>
        <item x="88"/>
        <item x="9"/>
        <item x="134"/>
        <item x="149"/>
        <item x="6"/>
        <item x="33"/>
        <item x="105"/>
        <item x="145"/>
        <item x="80"/>
        <item x="138"/>
        <item x="85"/>
        <item x="116"/>
        <item x="74"/>
        <item x="119"/>
        <item x="14"/>
        <item x="47"/>
        <item x="12"/>
        <item x="137"/>
        <item x="34"/>
        <item x="55"/>
        <item x="128"/>
        <item x="8"/>
        <item x="86"/>
        <item x="97"/>
        <item x="70"/>
        <item x="43"/>
        <item x="122"/>
        <item x="53"/>
        <item x="83"/>
        <item x="114"/>
        <item x="82"/>
        <item x="30"/>
        <item x="26"/>
        <item x="56"/>
        <item x="127"/>
        <item x="51"/>
        <item x="11"/>
        <item x="69"/>
        <item x="15"/>
        <item x="95"/>
        <item x="104"/>
        <item x="131"/>
        <item x="36"/>
        <item x="136"/>
        <item x="132"/>
        <item x="146"/>
        <item x="28"/>
        <item x="65"/>
        <item x="79"/>
        <item x="39"/>
        <item x="120"/>
        <item x="10"/>
        <item x="96"/>
        <item x="126"/>
        <item x="103"/>
        <item x="41"/>
        <item x="24"/>
        <item x="66"/>
        <item x="93"/>
        <item x="101"/>
        <item x="124"/>
        <item x="150"/>
        <item x="17"/>
        <item x="72"/>
        <item x="109"/>
        <item x="16"/>
        <item x="64"/>
        <item x="5"/>
        <item x="4"/>
        <item x="52"/>
        <item x="13"/>
        <item x="61"/>
        <item x="106"/>
        <item x="44"/>
        <item x="48"/>
        <item x="40"/>
        <item x="23"/>
        <item x="91"/>
        <item x="59"/>
        <item x="62"/>
        <item x="99"/>
        <item x="123"/>
        <item x="45"/>
        <item x="135"/>
        <item x="94"/>
        <item x="112"/>
        <item x="142"/>
        <item x="7"/>
        <item x="25"/>
        <item x="54"/>
        <item x="49"/>
        <item x="42"/>
        <item x="63"/>
        <item x="29"/>
        <item x="151"/>
        <item x="139"/>
        <item x="71"/>
        <item x="84"/>
        <item x="154"/>
        <item x="147"/>
        <item x="92"/>
        <item x="140"/>
        <item x="73"/>
        <item x="57"/>
        <item x="1"/>
        <item x="89"/>
        <item x="35"/>
        <item x="117"/>
        <item x="77"/>
        <item x="130"/>
        <item x="68"/>
        <item x="22"/>
        <item x="76"/>
        <item x="125"/>
        <item x="46"/>
        <item x="98"/>
        <item x="58"/>
        <item x="20"/>
        <item x="67"/>
        <item x="81"/>
        <item x="118"/>
        <item x="143"/>
        <item x="18"/>
        <item x="108"/>
        <item x="148"/>
        <item x="110"/>
        <item x="78"/>
        <item x="121"/>
        <item x="107"/>
        <item x="0"/>
        <item x="111"/>
        <item x="102"/>
        <item x="153"/>
        <item x="19"/>
        <item x="129"/>
        <item x="31"/>
        <item x="50"/>
        <item x="115"/>
        <item x="32"/>
        <item x="60"/>
        <item x="100"/>
        <item x="38"/>
        <item x="141"/>
        <item x="87"/>
        <item x="113"/>
        <item x="90"/>
        <item x="144"/>
        <item t="default"/>
      </items>
    </pivotField>
    <pivotField showAll="0"/>
    <pivotField showAll="0">
      <items count="4">
        <item x="0"/>
        <item x="1"/>
        <item x="2"/>
        <item t="default"/>
      </items>
    </pivotField>
    <pivotField showAll="0">
      <items count="10">
        <item x="3"/>
        <item x="4"/>
        <item x="0"/>
        <item x="6"/>
        <item x="7"/>
        <item x="1"/>
        <item x="8"/>
        <item x="2"/>
        <item x="5"/>
        <item t="default"/>
      </items>
    </pivotField>
    <pivotField showAll="0"/>
    <pivotField numFmtId="165" showAll="0"/>
    <pivotField showAll="0"/>
    <pivotField showAll="0"/>
    <pivotField numFmtId="165" showAll="0"/>
    <pivotField numFmtId="167"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dataField="1" dragToRow="0" dragToCol="0" dragToPage="0" showAll="0" defaultSubtotal="0"/>
    <pivotField dragToRow="0" dragToCol="0" dragToPage="0" showAll="0" defaultSubtotal="0"/>
  </pivotFields>
  <rowFields count="3">
    <field x="12"/>
    <field x="11"/>
    <field x="1"/>
  </rowFields>
  <rowItems count="13">
    <i>
      <x v="1"/>
    </i>
    <i>
      <x v="2"/>
    </i>
    <i>
      <x v="3"/>
    </i>
    <i>
      <x v="4"/>
    </i>
    <i>
      <x v="5"/>
    </i>
    <i>
      <x v="6"/>
    </i>
    <i>
      <x v="7"/>
    </i>
    <i>
      <x v="8"/>
    </i>
    <i>
      <x v="9"/>
    </i>
    <i>
      <x v="10"/>
    </i>
    <i>
      <x v="11"/>
    </i>
    <i>
      <x v="12"/>
    </i>
    <i t="grand">
      <x/>
    </i>
  </rowItems>
  <colItems count="1">
    <i/>
  </colItems>
  <dataFields count="1">
    <dataField name="Sum of Margin" fld="13" baseField="0" baseItem="0" numFmtId="169"/>
  </dataFields>
  <formats count="1">
    <format dxfId="31">
      <pivotArea outline="0" collapsedLevelsAreSubtotals="1" fieldPosition="0">
        <references count="1">
          <reference field="4294967294" count="1" selected="0">
            <x v="0"/>
          </reference>
        </references>
      </pivotArea>
    </format>
  </formats>
  <chartFormats count="1">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0A18870-CDB6-AA46-B04C-A141F58699DA}" name="Sales_Trends"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S3:U16" firstHeaderRow="0" firstDataRow="1" firstDataCol="1"/>
  <pivotFields count="15">
    <pivotField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axis="axisRow" numFmtId="166" showAll="0">
      <items count="156">
        <item x="27"/>
        <item x="3"/>
        <item x="2"/>
        <item x="21"/>
        <item x="133"/>
        <item x="152"/>
        <item x="75"/>
        <item x="37"/>
        <item x="88"/>
        <item x="9"/>
        <item x="134"/>
        <item x="149"/>
        <item x="6"/>
        <item x="33"/>
        <item x="105"/>
        <item x="145"/>
        <item x="80"/>
        <item x="138"/>
        <item x="85"/>
        <item x="116"/>
        <item x="74"/>
        <item x="119"/>
        <item x="14"/>
        <item x="47"/>
        <item x="12"/>
        <item x="137"/>
        <item x="34"/>
        <item x="55"/>
        <item x="128"/>
        <item x="8"/>
        <item x="86"/>
        <item x="97"/>
        <item x="70"/>
        <item x="43"/>
        <item x="122"/>
        <item x="53"/>
        <item x="83"/>
        <item x="114"/>
        <item x="82"/>
        <item x="30"/>
        <item x="26"/>
        <item x="56"/>
        <item x="127"/>
        <item x="51"/>
        <item x="11"/>
        <item x="69"/>
        <item x="15"/>
        <item x="95"/>
        <item x="104"/>
        <item x="131"/>
        <item x="36"/>
        <item x="136"/>
        <item x="132"/>
        <item x="146"/>
        <item x="28"/>
        <item x="65"/>
        <item x="79"/>
        <item x="39"/>
        <item x="120"/>
        <item x="10"/>
        <item x="96"/>
        <item x="126"/>
        <item x="103"/>
        <item x="41"/>
        <item x="24"/>
        <item x="66"/>
        <item x="93"/>
        <item x="101"/>
        <item x="124"/>
        <item x="150"/>
        <item x="17"/>
        <item x="72"/>
        <item x="109"/>
        <item x="16"/>
        <item x="64"/>
        <item x="5"/>
        <item x="4"/>
        <item x="52"/>
        <item x="13"/>
        <item x="61"/>
        <item x="106"/>
        <item x="44"/>
        <item x="48"/>
        <item x="40"/>
        <item x="23"/>
        <item x="91"/>
        <item x="59"/>
        <item x="62"/>
        <item x="99"/>
        <item x="123"/>
        <item x="45"/>
        <item x="135"/>
        <item x="94"/>
        <item x="112"/>
        <item x="142"/>
        <item x="7"/>
        <item x="25"/>
        <item x="54"/>
        <item x="49"/>
        <item x="42"/>
        <item x="63"/>
        <item x="29"/>
        <item x="151"/>
        <item x="139"/>
        <item x="71"/>
        <item x="84"/>
        <item x="154"/>
        <item x="147"/>
        <item x="92"/>
        <item x="140"/>
        <item x="73"/>
        <item x="57"/>
        <item x="1"/>
        <item x="89"/>
        <item x="35"/>
        <item x="117"/>
        <item x="77"/>
        <item x="130"/>
        <item x="68"/>
        <item x="22"/>
        <item x="76"/>
        <item x="125"/>
        <item x="46"/>
        <item x="98"/>
        <item x="58"/>
        <item x="20"/>
        <item x="67"/>
        <item x="81"/>
        <item x="118"/>
        <item x="143"/>
        <item x="18"/>
        <item x="108"/>
        <item x="148"/>
        <item x="110"/>
        <item x="78"/>
        <item x="121"/>
        <item x="107"/>
        <item x="0"/>
        <item x="111"/>
        <item x="102"/>
        <item x="153"/>
        <item x="19"/>
        <item x="129"/>
        <item x="31"/>
        <item x="50"/>
        <item x="115"/>
        <item x="32"/>
        <item x="60"/>
        <item x="100"/>
        <item x="38"/>
        <item x="141"/>
        <item x="87"/>
        <item x="113"/>
        <item x="90"/>
        <item x="144"/>
        <item t="default"/>
      </items>
    </pivotField>
    <pivotField showAll="0">
      <items count="5">
        <item x="1"/>
        <item x="2"/>
        <item x="3"/>
        <item x="0"/>
        <item t="default"/>
      </items>
    </pivotField>
    <pivotField showAll="0">
      <items count="4">
        <item x="0"/>
        <item x="1"/>
        <item x="2"/>
        <item t="default"/>
      </items>
    </pivotField>
    <pivotField showAll="0">
      <items count="10">
        <item x="3"/>
        <item x="4"/>
        <item x="0"/>
        <item x="6"/>
        <item x="7"/>
        <item x="1"/>
        <item x="8"/>
        <item x="2"/>
        <item x="5"/>
        <item t="default"/>
      </items>
    </pivotField>
    <pivotField showAll="0">
      <items count="4">
        <item x="1"/>
        <item x="0"/>
        <item x="2"/>
        <item t="default"/>
      </items>
    </pivotField>
    <pivotField dataField="1" numFmtId="165" showAll="0"/>
    <pivotField showAll="0"/>
    <pivotField showAll="0"/>
    <pivotField dataField="1" numFmtId="165" showAll="0">
      <items count="199">
        <item x="97"/>
        <item x="65"/>
        <item x="30"/>
        <item x="176"/>
        <item x="96"/>
        <item x="31"/>
        <item x="152"/>
        <item x="140"/>
        <item x="49"/>
        <item x="5"/>
        <item x="130"/>
        <item x="93"/>
        <item x="147"/>
        <item x="40"/>
        <item x="127"/>
        <item x="77"/>
        <item x="170"/>
        <item x="98"/>
        <item x="113"/>
        <item x="58"/>
        <item x="129"/>
        <item x="36"/>
        <item x="15"/>
        <item x="165"/>
        <item x="14"/>
        <item x="25"/>
        <item x="101"/>
        <item x="28"/>
        <item x="92"/>
        <item x="128"/>
        <item x="84"/>
        <item x="187"/>
        <item x="184"/>
        <item x="59"/>
        <item x="149"/>
        <item x="188"/>
        <item x="194"/>
        <item x="37"/>
        <item x="125"/>
        <item x="166"/>
        <item x="195"/>
        <item x="121"/>
        <item x="143"/>
        <item x="157"/>
        <item x="119"/>
        <item x="3"/>
        <item x="64"/>
        <item x="51"/>
        <item x="138"/>
        <item x="153"/>
        <item x="82"/>
        <item x="23"/>
        <item x="110"/>
        <item x="88"/>
        <item x="83"/>
        <item x="163"/>
        <item x="71"/>
        <item x="91"/>
        <item x="21"/>
        <item x="44"/>
        <item x="54"/>
        <item x="173"/>
        <item x="66"/>
        <item x="94"/>
        <item x="11"/>
        <item x="87"/>
        <item x="68"/>
        <item x="75"/>
        <item x="178"/>
        <item x="33"/>
        <item x="52"/>
        <item x="61"/>
        <item x="179"/>
        <item x="63"/>
        <item x="116"/>
        <item x="172"/>
        <item x="144"/>
        <item x="12"/>
        <item x="60"/>
        <item x="1"/>
        <item x="48"/>
        <item x="4"/>
        <item x="112"/>
        <item x="62"/>
        <item x="105"/>
        <item x="131"/>
        <item x="171"/>
        <item x="38"/>
        <item x="135"/>
        <item x="57"/>
        <item x="136"/>
        <item x="46"/>
        <item x="81"/>
        <item x="108"/>
        <item x="175"/>
        <item x="142"/>
        <item x="164"/>
        <item x="9"/>
        <item x="189"/>
        <item x="114"/>
        <item x="168"/>
        <item x="20"/>
        <item x="191"/>
        <item x="27"/>
        <item x="180"/>
        <item x="154"/>
        <item x="155"/>
        <item x="145"/>
        <item x="103"/>
        <item x="2"/>
        <item x="167"/>
        <item x="169"/>
        <item x="115"/>
        <item x="80"/>
        <item x="99"/>
        <item x="79"/>
        <item x="177"/>
        <item x="29"/>
        <item x="74"/>
        <item x="141"/>
        <item x="32"/>
        <item x="43"/>
        <item x="151"/>
        <item x="50"/>
        <item x="26"/>
        <item x="159"/>
        <item x="137"/>
        <item x="22"/>
        <item x="156"/>
        <item x="186"/>
        <item x="16"/>
        <item x="7"/>
        <item x="69"/>
        <item x="132"/>
        <item x="67"/>
        <item x="185"/>
        <item x="8"/>
        <item x="95"/>
        <item x="192"/>
        <item x="133"/>
        <item x="39"/>
        <item x="158"/>
        <item x="107"/>
        <item x="10"/>
        <item x="76"/>
        <item x="0"/>
        <item x="90"/>
        <item x="13"/>
        <item x="183"/>
        <item x="53"/>
        <item x="86"/>
        <item x="139"/>
        <item x="102"/>
        <item x="18"/>
        <item x="123"/>
        <item x="55"/>
        <item x="118"/>
        <item x="34"/>
        <item x="111"/>
        <item x="181"/>
        <item x="89"/>
        <item x="190"/>
        <item x="47"/>
        <item x="193"/>
        <item x="73"/>
        <item x="161"/>
        <item x="24"/>
        <item x="41"/>
        <item x="162"/>
        <item x="19"/>
        <item x="45"/>
        <item x="182"/>
        <item x="70"/>
        <item x="117"/>
        <item x="120"/>
        <item x="148"/>
        <item x="109"/>
        <item x="160"/>
        <item x="126"/>
        <item x="122"/>
        <item x="197"/>
        <item x="106"/>
        <item x="100"/>
        <item x="134"/>
        <item x="35"/>
        <item x="72"/>
        <item x="104"/>
        <item x="6"/>
        <item x="150"/>
        <item x="78"/>
        <item x="42"/>
        <item x="56"/>
        <item x="124"/>
        <item x="174"/>
        <item x="196"/>
        <item x="17"/>
        <item x="146"/>
        <item x="85"/>
        <item t="default"/>
      </items>
    </pivotField>
    <pivotField numFmtId="167"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 dragToRow="0" dragToCol="0" dragToPage="0" showAll="0" defaultSubtotal="0"/>
  </pivotFields>
  <rowFields count="3">
    <field x="12"/>
    <field x="11"/>
    <field x="1"/>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6" baseField="0" baseItem="0" numFmtId="168"/>
    <dataField name="Sum of Profit" fld="9" baseField="0" baseItem="0" numFmtId="168"/>
  </dataFields>
  <chartFormats count="2">
    <chartFormat chart="18" format="4"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0AA5F59-C4CA-D648-B488-F1604BAAE62B}" sourceName="Region">
  <pivotTables>
    <pivotTable tabId="4" name="Sales_Trends"/>
    <pivotTable tabId="4" name="Profit_Margin_Category"/>
    <pivotTable tabId="4" name="Sales_Category"/>
    <pivotTable tabId="4" name="Sales_Region"/>
  </pivotTables>
  <data>
    <tabular pivotCacheId="333999541">
      <items count="4">
        <i x="1" s="1"/>
        <i x="2"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48F4BEE-C8D2-B54B-AB9B-879D69B51877}" sourceName="Category">
  <pivotTables>
    <pivotTable tabId="4" name="Sales_Trends"/>
    <pivotTable tabId="4" name="Sales_Category"/>
    <pivotTable tabId="4" name="Sales_Region"/>
  </pivotTables>
  <data>
    <tabular pivotCacheId="33399954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F628E091-7653-5D49-A14D-0C2259810C1D}" sourceName="Segment">
  <pivotTables>
    <pivotTable tabId="4" name="Sales_Trends"/>
    <pivotTable tabId="4" name="Profit_Margin_Category"/>
    <pivotTable tabId="4" name="Sales_Category"/>
    <pivotTable tabId="4" name="Sales_Region"/>
  </pivotTables>
  <data>
    <tabular pivotCacheId="333999541">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CBD0E90-C16E-954F-97DA-820A2A293CEC}" cache="Slicer_Region" caption="Region" style="SlicerStyleDark1" lockedPosition="1" rowHeight="230716"/>
  <slicer name="Category" xr10:uid="{0250008F-5C11-6743-A537-36BB5C7350B2}" cache="Slicer_Category" caption="Category" style="SlicerStyleDark1" lockedPosition="1" rowHeight="230716"/>
  <slicer name="Segment" xr10:uid="{D0445939-D821-CB4F-9568-ABD50E2944D9}" cache="Slicer_Segment" caption="Segment" style="SlicerStyleDark1" lockedPosition="1"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F633C47-485B-7A43-98F1-144FEF4A19F4}" name="Table1" displayName="Table1" ref="A1:K201" totalsRowShown="0" headerRowDxfId="30" headerRowBorderDxfId="29" tableBorderDxfId="28">
  <autoFilter ref="A1:K201" xr:uid="{8F633C47-485B-7A43-98F1-144FEF4A19F4}"/>
  <tableColumns count="11">
    <tableColumn id="1" xr3:uid="{839439E3-29A3-DF4E-B960-4142FD476775}" name="Order ID"/>
    <tableColumn id="2" xr3:uid="{F521A20E-8553-0E4E-95BD-CBF03B7AF29B}" name="Order Date" dataDxfId="27"/>
    <tableColumn id="3" xr3:uid="{6F072421-86A0-CD4D-8197-ACA0453A5D34}" name="Region"/>
    <tableColumn id="4" xr3:uid="{61D735D4-2237-874D-A23A-7F0EC7EC82C4}" name="Category"/>
    <tableColumn id="5" xr3:uid="{BC83302F-C1CE-3744-9A2F-99EF56B236CF}" name="Sub-Category"/>
    <tableColumn id="6" xr3:uid="{271EBAAC-4A5C-EF4D-AA97-17B55C4A8AAE}" name="Segment"/>
    <tableColumn id="7" xr3:uid="{79E7345A-5338-BA48-A39B-023CEFD0C84D}" name="Sales" dataDxfId="26"/>
    <tableColumn id="8" xr3:uid="{BEC712EB-5491-6A46-BDA4-E5FFA4B6210B}" name="Quantity"/>
    <tableColumn id="9" xr3:uid="{E6141F98-C413-9246-B8B9-E4EF5F77FF20}" name="Discount"/>
    <tableColumn id="10" xr3:uid="{A3D55F21-FFD2-534E-B7A9-C62209C16D29}" name="Profit" dataDxfId="25"/>
    <tableColumn id="11" xr3:uid="{77B0CA06-7D7C-3A4F-BB2B-5C1479D62802}" name="Profit Margin" dataDxfId="24">
      <calculatedColumnFormula>Table1[[#This Row],[Profit]]/Table1[[#This Row],[Sales]]%</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0C0FD-CCFA-9348-B8EB-EDC996B6015F}">
  <dimension ref="A3:AE16"/>
  <sheetViews>
    <sheetView workbookViewId="0">
      <selection activeCell="Y22" sqref="Y22"/>
    </sheetView>
  </sheetViews>
  <sheetFormatPr baseColWidth="10" defaultRowHeight="15" x14ac:dyDescent="0.2"/>
  <cols>
    <col min="1" max="1" width="12.1640625" bestFit="1" customWidth="1"/>
    <col min="2" max="2" width="10.5" bestFit="1" customWidth="1"/>
    <col min="3" max="3" width="11" bestFit="1" customWidth="1"/>
    <col min="4" max="4" width="0.6640625" customWidth="1"/>
    <col min="5" max="5" width="0.5" customWidth="1"/>
    <col min="6" max="6" width="12.1640625" bestFit="1" customWidth="1"/>
    <col min="7" max="7" width="14.83203125" bestFit="1" customWidth="1"/>
    <col min="8" max="8" width="7" bestFit="1" customWidth="1"/>
    <col min="9" max="9" width="9" bestFit="1" customWidth="1"/>
    <col min="10" max="10" width="5.83203125" bestFit="1" customWidth="1"/>
    <col min="11" max="11" width="7" bestFit="1" customWidth="1"/>
    <col min="12" max="12" width="5.6640625" bestFit="1" customWidth="1"/>
    <col min="13" max="13" width="6.83203125" bestFit="1" customWidth="1"/>
    <col min="14" max="14" width="7" bestFit="1" customWidth="1"/>
    <col min="15" max="15" width="6" bestFit="1" customWidth="1"/>
    <col min="16" max="16" width="10" bestFit="1" customWidth="1"/>
    <col min="17" max="17" width="0.6640625" customWidth="1"/>
    <col min="18" max="18" width="0.33203125" customWidth="1"/>
    <col min="19" max="19" width="12.1640625" bestFit="1" customWidth="1"/>
    <col min="20" max="20" width="10.5" bestFit="1" customWidth="1"/>
    <col min="21" max="21" width="11" bestFit="1" customWidth="1"/>
    <col min="22" max="22" width="1.1640625" customWidth="1"/>
    <col min="23" max="23" width="1.33203125" customWidth="1"/>
    <col min="24" max="24" width="0.83203125" customWidth="1"/>
    <col min="25" max="26" width="12.1640625" bestFit="1" customWidth="1"/>
    <col min="27" max="27" width="0.33203125" customWidth="1"/>
    <col min="28" max="29" width="1" customWidth="1"/>
    <col min="30" max="30" width="12.1640625" bestFit="1" customWidth="1"/>
    <col min="31" max="33" width="13.1640625" bestFit="1" customWidth="1"/>
  </cols>
  <sheetData>
    <row r="3" spans="1:31" x14ac:dyDescent="0.2">
      <c r="A3" s="18" t="s">
        <v>232</v>
      </c>
      <c r="B3" t="s">
        <v>234</v>
      </c>
      <c r="C3" t="s">
        <v>235</v>
      </c>
      <c r="F3" s="18" t="s">
        <v>234</v>
      </c>
      <c r="G3" s="18" t="s">
        <v>237</v>
      </c>
      <c r="S3" s="18" t="s">
        <v>232</v>
      </c>
      <c r="T3" t="s">
        <v>234</v>
      </c>
      <c r="U3" t="s">
        <v>235</v>
      </c>
      <c r="Y3" s="18" t="s">
        <v>232</v>
      </c>
      <c r="Z3" t="s">
        <v>250</v>
      </c>
      <c r="AD3" s="18" t="s">
        <v>232</v>
      </c>
      <c r="AE3" t="s">
        <v>251</v>
      </c>
    </row>
    <row r="4" spans="1:31" x14ac:dyDescent="0.2">
      <c r="A4" s="19" t="s">
        <v>211</v>
      </c>
      <c r="B4" s="20">
        <v>29469.229999999996</v>
      </c>
      <c r="C4" s="20">
        <v>1413.8300000000002</v>
      </c>
      <c r="F4" s="18" t="s">
        <v>232</v>
      </c>
      <c r="G4" t="s">
        <v>220</v>
      </c>
      <c r="H4" t="s">
        <v>221</v>
      </c>
      <c r="I4" t="s">
        <v>217</v>
      </c>
      <c r="J4" t="s">
        <v>223</v>
      </c>
      <c r="K4" t="s">
        <v>224</v>
      </c>
      <c r="L4" t="s">
        <v>218</v>
      </c>
      <c r="M4" t="s">
        <v>225</v>
      </c>
      <c r="N4" t="s">
        <v>219</v>
      </c>
      <c r="O4" t="s">
        <v>222</v>
      </c>
      <c r="P4" t="s">
        <v>233</v>
      </c>
      <c r="S4" s="19" t="s">
        <v>238</v>
      </c>
      <c r="T4" s="20">
        <v>4985.4999999999991</v>
      </c>
      <c r="U4" s="20">
        <v>362.96999999999997</v>
      </c>
      <c r="Y4" s="19" t="s">
        <v>238</v>
      </c>
      <c r="Z4" s="21">
        <v>7.2805134891184435</v>
      </c>
      <c r="AD4" s="19" t="s">
        <v>216</v>
      </c>
      <c r="AE4" s="21">
        <v>7.1462612875226972</v>
      </c>
    </row>
    <row r="5" spans="1:31" x14ac:dyDescent="0.2">
      <c r="A5" s="19" t="s">
        <v>212</v>
      </c>
      <c r="B5" s="20">
        <v>26196.780000000006</v>
      </c>
      <c r="C5" s="20">
        <v>1782.05</v>
      </c>
      <c r="F5" s="19" t="s">
        <v>214</v>
      </c>
      <c r="G5" s="20"/>
      <c r="H5" s="20"/>
      <c r="I5" s="20">
        <v>9759.58</v>
      </c>
      <c r="J5" s="20">
        <v>9477.0399999999991</v>
      </c>
      <c r="K5" s="20"/>
      <c r="L5" s="20"/>
      <c r="M5" s="20"/>
      <c r="N5" s="20"/>
      <c r="O5" s="20">
        <v>6946.3399999999992</v>
      </c>
      <c r="P5" s="20">
        <v>26182.959999999999</v>
      </c>
      <c r="S5" s="19" t="s">
        <v>239</v>
      </c>
      <c r="T5" s="20">
        <v>10411.820000000002</v>
      </c>
      <c r="U5" s="20">
        <v>195.90000000000003</v>
      </c>
      <c r="Y5" s="19" t="s">
        <v>239</v>
      </c>
      <c r="Z5" s="21">
        <v>1.8815154314999682</v>
      </c>
      <c r="AD5" s="19" t="s">
        <v>215</v>
      </c>
      <c r="AE5" s="21">
        <v>6.2876921482138828</v>
      </c>
    </row>
    <row r="6" spans="1:31" x14ac:dyDescent="0.2">
      <c r="A6" s="19" t="s">
        <v>213</v>
      </c>
      <c r="B6" s="20">
        <v>22383.440000000002</v>
      </c>
      <c r="C6" s="20">
        <v>1472.46</v>
      </c>
      <c r="F6" s="19" t="s">
        <v>215</v>
      </c>
      <c r="G6" s="20"/>
      <c r="H6" s="20">
        <v>10001.149999999998</v>
      </c>
      <c r="I6" s="20"/>
      <c r="J6" s="20"/>
      <c r="K6" s="20"/>
      <c r="L6" s="20">
        <v>16957.97</v>
      </c>
      <c r="M6" s="20"/>
      <c r="N6" s="20">
        <v>14329.32</v>
      </c>
      <c r="O6" s="20"/>
      <c r="P6" s="20">
        <v>41288.44</v>
      </c>
      <c r="S6" s="19" t="s">
        <v>240</v>
      </c>
      <c r="T6" s="20">
        <v>5925.53</v>
      </c>
      <c r="U6" s="20">
        <v>331.78</v>
      </c>
      <c r="Y6" s="19" t="s">
        <v>240</v>
      </c>
      <c r="Z6" s="21">
        <v>5.5991615939839976</v>
      </c>
      <c r="AD6" s="19" t="s">
        <v>214</v>
      </c>
      <c r="AE6" s="21">
        <v>5.4679455645962127</v>
      </c>
    </row>
    <row r="7" spans="1:31" x14ac:dyDescent="0.2">
      <c r="A7" s="19" t="s">
        <v>210</v>
      </c>
      <c r="B7" s="20">
        <v>23812.799999999996</v>
      </c>
      <c r="C7" s="20">
        <v>1817.0800000000002</v>
      </c>
      <c r="F7" s="19" t="s">
        <v>216</v>
      </c>
      <c r="G7" s="20">
        <v>12641.45</v>
      </c>
      <c r="H7" s="20"/>
      <c r="I7" s="20"/>
      <c r="J7" s="20"/>
      <c r="K7" s="20">
        <v>8841.2899999999991</v>
      </c>
      <c r="L7" s="20"/>
      <c r="M7" s="20">
        <v>12908.109999999999</v>
      </c>
      <c r="N7" s="20"/>
      <c r="O7" s="20"/>
      <c r="P7" s="20">
        <v>34390.85</v>
      </c>
      <c r="S7" s="19" t="s">
        <v>241</v>
      </c>
      <c r="T7" s="20">
        <v>5473.87</v>
      </c>
      <c r="U7" s="20">
        <v>343.76</v>
      </c>
      <c r="Y7" s="19" t="s">
        <v>241</v>
      </c>
      <c r="Z7" s="21">
        <v>6.2800176109407051</v>
      </c>
      <c r="AD7" s="19" t="s">
        <v>233</v>
      </c>
      <c r="AE7" s="21">
        <v>6.366853274888391</v>
      </c>
    </row>
    <row r="8" spans="1:31" x14ac:dyDescent="0.2">
      <c r="A8" s="19" t="s">
        <v>233</v>
      </c>
      <c r="B8" s="20">
        <v>101862.25</v>
      </c>
      <c r="C8" s="20">
        <v>6485.42</v>
      </c>
      <c r="F8" s="19" t="s">
        <v>233</v>
      </c>
      <c r="G8" s="20">
        <v>12641.45</v>
      </c>
      <c r="H8" s="20">
        <v>10001.149999999998</v>
      </c>
      <c r="I8" s="20">
        <v>9759.58</v>
      </c>
      <c r="J8" s="20">
        <v>9477.0399999999991</v>
      </c>
      <c r="K8" s="20">
        <v>8841.2899999999991</v>
      </c>
      <c r="L8" s="20">
        <v>16957.97</v>
      </c>
      <c r="M8" s="20">
        <v>12908.109999999999</v>
      </c>
      <c r="N8" s="20">
        <v>14329.32</v>
      </c>
      <c r="O8" s="20">
        <v>6946.3399999999992</v>
      </c>
      <c r="P8" s="20">
        <v>101862.25</v>
      </c>
      <c r="S8" s="19" t="s">
        <v>242</v>
      </c>
      <c r="T8" s="20">
        <v>9698.36</v>
      </c>
      <c r="U8" s="20">
        <v>507.03999999999991</v>
      </c>
      <c r="Y8" s="19" t="s">
        <v>242</v>
      </c>
      <c r="Z8" s="21">
        <v>5.2281004211021234</v>
      </c>
    </row>
    <row r="9" spans="1:31" x14ac:dyDescent="0.2">
      <c r="S9" s="19" t="s">
        <v>243</v>
      </c>
      <c r="T9" s="20">
        <v>9938.7200000000048</v>
      </c>
      <c r="U9" s="20">
        <v>670.50000000000011</v>
      </c>
      <c r="Y9" s="19" t="s">
        <v>243</v>
      </c>
      <c r="Z9" s="21">
        <v>6.7463415812096503</v>
      </c>
    </row>
    <row r="10" spans="1:31" x14ac:dyDescent="0.2">
      <c r="S10" s="19" t="s">
        <v>244</v>
      </c>
      <c r="T10" s="20">
        <v>12906.99</v>
      </c>
      <c r="U10" s="20">
        <v>1423.1199999999997</v>
      </c>
      <c r="Y10" s="19" t="s">
        <v>244</v>
      </c>
      <c r="Z10" s="21">
        <v>11.025963450812309</v>
      </c>
    </row>
    <row r="11" spans="1:31" x14ac:dyDescent="0.2">
      <c r="S11" s="19" t="s">
        <v>245</v>
      </c>
      <c r="T11" s="20">
        <v>10558.739999999998</v>
      </c>
      <c r="U11" s="20">
        <v>803.93999999999994</v>
      </c>
      <c r="Y11" s="19" t="s">
        <v>245</v>
      </c>
      <c r="Z11" s="21">
        <v>7.6139766676705758</v>
      </c>
    </row>
    <row r="12" spans="1:31" x14ac:dyDescent="0.2">
      <c r="B12" s="22">
        <f>GETPIVOTDATA("Sum of Profit",$A$3)</f>
        <v>6485.42</v>
      </c>
      <c r="S12" s="19" t="s">
        <v>246</v>
      </c>
      <c r="T12" s="20">
        <v>5050.2700000000004</v>
      </c>
      <c r="U12" s="20">
        <v>183.72</v>
      </c>
      <c r="Y12" s="19" t="s">
        <v>246</v>
      </c>
      <c r="Z12" s="21">
        <v>3.6378253043896658</v>
      </c>
    </row>
    <row r="13" spans="1:31" x14ac:dyDescent="0.2">
      <c r="B13" s="23">
        <f>GETPIVOTDATA("Sum of Sales",$A$3)</f>
        <v>101862.25</v>
      </c>
      <c r="S13" s="19" t="s">
        <v>247</v>
      </c>
      <c r="T13" s="20">
        <v>8902.2599999999984</v>
      </c>
      <c r="U13" s="20">
        <v>588.35</v>
      </c>
      <c r="Y13" s="19" t="s">
        <v>247</v>
      </c>
      <c r="Z13" s="21">
        <v>6.608995917890514</v>
      </c>
    </row>
    <row r="14" spans="1:31" x14ac:dyDescent="0.2">
      <c r="B14" s="24">
        <f>GETPIVOTDATA("Sum of Margin",$Y$3)</f>
        <v>6.3668532748883901</v>
      </c>
      <c r="S14" s="19" t="s">
        <v>248</v>
      </c>
      <c r="T14" s="20">
        <v>8335.44</v>
      </c>
      <c r="U14" s="20">
        <v>427.82000000000005</v>
      </c>
      <c r="Y14" s="19" t="s">
        <v>248</v>
      </c>
      <c r="Z14" s="21">
        <v>5.1325424932577048</v>
      </c>
    </row>
    <row r="15" spans="1:31" x14ac:dyDescent="0.2">
      <c r="S15" s="19" t="s">
        <v>249</v>
      </c>
      <c r="T15" s="20">
        <v>9674.75</v>
      </c>
      <c r="U15" s="20">
        <v>646.5200000000001</v>
      </c>
      <c r="Y15" s="19" t="s">
        <v>249</v>
      </c>
      <c r="Z15" s="21">
        <v>6.6825499366908723</v>
      </c>
    </row>
    <row r="16" spans="1:31" x14ac:dyDescent="0.2">
      <c r="S16" s="19" t="s">
        <v>233</v>
      </c>
      <c r="T16" s="20">
        <v>101862.25</v>
      </c>
      <c r="U16" s="20">
        <v>6485.42</v>
      </c>
      <c r="Y16" s="19" t="s">
        <v>233</v>
      </c>
      <c r="Z16" s="21">
        <v>6.3668532748883901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01"/>
  <sheetViews>
    <sheetView workbookViewId="0">
      <selection activeCell="H23" sqref="H23"/>
    </sheetView>
  </sheetViews>
  <sheetFormatPr baseColWidth="10" defaultColWidth="8.83203125" defaultRowHeight="15" x14ac:dyDescent="0.2"/>
  <cols>
    <col min="1" max="1" width="10" customWidth="1"/>
    <col min="2" max="2" width="13.33203125" style="3" customWidth="1"/>
    <col min="4" max="4" width="12.33203125" customWidth="1"/>
    <col min="5" max="5" width="15.5" customWidth="1"/>
    <col min="6" max="6" width="12.33203125" customWidth="1"/>
    <col min="7" max="7" width="10.83203125" customWidth="1"/>
    <col min="8" max="8" width="11.6640625" customWidth="1"/>
    <col min="9" max="9" width="12.33203125" customWidth="1"/>
    <col min="10" max="10" width="11.5" customWidth="1"/>
    <col min="11" max="11" width="16.1640625" customWidth="1"/>
  </cols>
  <sheetData>
    <row r="1" spans="1:11" x14ac:dyDescent="0.2">
      <c r="A1" s="1" t="s">
        <v>0</v>
      </c>
      <c r="B1" s="6" t="s">
        <v>1</v>
      </c>
      <c r="C1" s="1" t="s">
        <v>2</v>
      </c>
      <c r="D1" s="1" t="s">
        <v>3</v>
      </c>
      <c r="E1" s="1" t="s">
        <v>4</v>
      </c>
      <c r="F1" s="1" t="s">
        <v>5</v>
      </c>
      <c r="G1" s="4" t="s">
        <v>6</v>
      </c>
      <c r="H1" s="1" t="s">
        <v>7</v>
      </c>
      <c r="I1" s="1" t="s">
        <v>8</v>
      </c>
      <c r="J1" s="4" t="s">
        <v>9</v>
      </c>
      <c r="K1" s="8" t="s">
        <v>229</v>
      </c>
    </row>
    <row r="2" spans="1:11" x14ac:dyDescent="0.2">
      <c r="A2" t="s">
        <v>10</v>
      </c>
      <c r="B2" s="7">
        <v>45254</v>
      </c>
      <c r="C2" t="s">
        <v>210</v>
      </c>
      <c r="D2" t="s">
        <v>214</v>
      </c>
      <c r="E2" t="s">
        <v>217</v>
      </c>
      <c r="F2" t="s">
        <v>226</v>
      </c>
      <c r="G2" s="5">
        <v>282.64999999999998</v>
      </c>
      <c r="H2">
        <v>3</v>
      </c>
      <c r="I2">
        <v>0</v>
      </c>
      <c r="J2" s="5">
        <v>61.95</v>
      </c>
      <c r="K2" s="9">
        <f>Table1[[#This Row],[Profit]]/Table1[[#This Row],[Sales]]%</f>
        <v>21.917565894215464</v>
      </c>
    </row>
    <row r="3" spans="1:11" x14ac:dyDescent="0.2">
      <c r="A3" t="s">
        <v>11</v>
      </c>
      <c r="B3" s="7">
        <v>45206</v>
      </c>
      <c r="C3" t="s">
        <v>210</v>
      </c>
      <c r="D3" t="s">
        <v>215</v>
      </c>
      <c r="E3" t="s">
        <v>218</v>
      </c>
      <c r="F3" t="s">
        <v>227</v>
      </c>
      <c r="G3" s="5">
        <v>78.31</v>
      </c>
      <c r="H3">
        <v>4</v>
      </c>
      <c r="I3">
        <v>0.05</v>
      </c>
      <c r="J3" s="5">
        <v>9.89</v>
      </c>
      <c r="K3" s="9">
        <f>Table1[[#This Row],[Profit]]/Table1[[#This Row],[Sales]]%</f>
        <v>12.629293832205338</v>
      </c>
    </row>
    <row r="4" spans="1:11" x14ac:dyDescent="0.2">
      <c r="A4" t="s">
        <v>12</v>
      </c>
      <c r="B4" s="7">
        <v>44940</v>
      </c>
      <c r="C4" t="s">
        <v>211</v>
      </c>
      <c r="D4" t="s">
        <v>215</v>
      </c>
      <c r="E4" t="s">
        <v>219</v>
      </c>
      <c r="F4" t="s">
        <v>228</v>
      </c>
      <c r="G4" s="5">
        <v>567.69000000000005</v>
      </c>
      <c r="H4">
        <v>4</v>
      </c>
      <c r="I4">
        <v>0.15</v>
      </c>
      <c r="J4" s="5">
        <v>26.86</v>
      </c>
      <c r="K4" s="9">
        <f>Table1[[#This Row],[Profit]]/Table1[[#This Row],[Sales]]%</f>
        <v>4.7314555479222804</v>
      </c>
    </row>
    <row r="5" spans="1:11" x14ac:dyDescent="0.2">
      <c r="A5" t="s">
        <v>13</v>
      </c>
      <c r="B5" s="7">
        <v>44930</v>
      </c>
      <c r="C5" t="s">
        <v>211</v>
      </c>
      <c r="D5" t="s">
        <v>215</v>
      </c>
      <c r="E5" t="s">
        <v>218</v>
      </c>
      <c r="F5" t="s">
        <v>226</v>
      </c>
      <c r="G5" s="5">
        <v>313.98</v>
      </c>
      <c r="H5">
        <v>4</v>
      </c>
      <c r="I5">
        <v>0.1</v>
      </c>
      <c r="J5" s="5">
        <v>-7.68</v>
      </c>
      <c r="K5" s="9">
        <f>Table1[[#This Row],[Profit]]/Table1[[#This Row],[Sales]]%</f>
        <v>-2.4460156697878843</v>
      </c>
    </row>
    <row r="6" spans="1:11" x14ac:dyDescent="0.2">
      <c r="A6" t="s">
        <v>14</v>
      </c>
      <c r="B6" s="7">
        <v>45121</v>
      </c>
      <c r="C6" t="s">
        <v>210</v>
      </c>
      <c r="D6" t="s">
        <v>216</v>
      </c>
      <c r="E6" t="s">
        <v>220</v>
      </c>
      <c r="F6" t="s">
        <v>228</v>
      </c>
      <c r="G6" s="5">
        <v>301.29000000000002</v>
      </c>
      <c r="H6">
        <v>1</v>
      </c>
      <c r="I6">
        <v>0.15</v>
      </c>
      <c r="J6" s="5">
        <v>10.26</v>
      </c>
      <c r="K6" s="9">
        <f>Table1[[#This Row],[Profit]]/Table1[[#This Row],[Sales]]%</f>
        <v>3.4053569650502835</v>
      </c>
    </row>
    <row r="7" spans="1:11" x14ac:dyDescent="0.2">
      <c r="A7" t="s">
        <v>15</v>
      </c>
      <c r="B7" s="7">
        <v>45120</v>
      </c>
      <c r="C7" t="s">
        <v>210</v>
      </c>
      <c r="D7" t="s">
        <v>215</v>
      </c>
      <c r="E7" t="s">
        <v>218</v>
      </c>
      <c r="F7" t="s">
        <v>228</v>
      </c>
      <c r="G7" s="5">
        <v>637.59</v>
      </c>
      <c r="H7">
        <v>6</v>
      </c>
      <c r="I7">
        <v>0.2</v>
      </c>
      <c r="J7" s="5">
        <v>-64.989999999999995</v>
      </c>
      <c r="K7" s="9">
        <f>Table1[[#This Row],[Profit]]/Table1[[#This Row],[Sales]]%</f>
        <v>-10.193070782164085</v>
      </c>
    </row>
    <row r="8" spans="1:11" x14ac:dyDescent="0.2">
      <c r="A8" t="s">
        <v>16</v>
      </c>
      <c r="B8" s="7">
        <v>44962</v>
      </c>
      <c r="C8" t="s">
        <v>210</v>
      </c>
      <c r="D8" t="s">
        <v>215</v>
      </c>
      <c r="E8" t="s">
        <v>221</v>
      </c>
      <c r="F8" t="s">
        <v>226</v>
      </c>
      <c r="G8" s="5">
        <v>985.96</v>
      </c>
      <c r="H8">
        <v>4</v>
      </c>
      <c r="I8">
        <v>0</v>
      </c>
      <c r="J8" s="5">
        <v>143</v>
      </c>
      <c r="K8" s="9">
        <f>Table1[[#This Row],[Profit]]/Table1[[#This Row],[Sales]]%</f>
        <v>14.503630978944379</v>
      </c>
    </row>
    <row r="9" spans="1:11" x14ac:dyDescent="0.2">
      <c r="A9" t="s">
        <v>17</v>
      </c>
      <c r="B9" s="7">
        <v>45159</v>
      </c>
      <c r="C9" t="s">
        <v>212</v>
      </c>
      <c r="D9" t="s">
        <v>214</v>
      </c>
      <c r="E9" t="s">
        <v>222</v>
      </c>
      <c r="F9" t="s">
        <v>226</v>
      </c>
      <c r="G9" s="5">
        <v>249.03</v>
      </c>
      <c r="H9">
        <v>5</v>
      </c>
      <c r="I9">
        <v>0</v>
      </c>
      <c r="J9" s="5">
        <v>50.37</v>
      </c>
      <c r="K9" s="9">
        <f>Table1[[#This Row],[Profit]]/Table1[[#This Row],[Sales]]%</f>
        <v>20.226478737501505</v>
      </c>
    </row>
    <row r="10" spans="1:11" x14ac:dyDescent="0.2">
      <c r="A10" t="s">
        <v>18</v>
      </c>
      <c r="B10" s="7">
        <v>45014</v>
      </c>
      <c r="C10" t="s">
        <v>211</v>
      </c>
      <c r="D10" t="s">
        <v>214</v>
      </c>
      <c r="E10" t="s">
        <v>222</v>
      </c>
      <c r="F10" t="s">
        <v>226</v>
      </c>
      <c r="G10" s="5">
        <v>306.45</v>
      </c>
      <c r="H10">
        <v>9</v>
      </c>
      <c r="I10">
        <v>0.05</v>
      </c>
      <c r="J10" s="5">
        <v>52.45</v>
      </c>
      <c r="K10" s="9">
        <f>Table1[[#This Row],[Profit]]/Table1[[#This Row],[Sales]]%</f>
        <v>17.115353238701257</v>
      </c>
    </row>
    <row r="11" spans="1:11" x14ac:dyDescent="0.2">
      <c r="A11" t="s">
        <v>19</v>
      </c>
      <c r="B11" s="7">
        <v>44955</v>
      </c>
      <c r="C11" t="s">
        <v>211</v>
      </c>
      <c r="D11" t="s">
        <v>214</v>
      </c>
      <c r="E11" t="s">
        <v>222</v>
      </c>
      <c r="F11" t="s">
        <v>226</v>
      </c>
      <c r="G11" s="5">
        <v>304.35000000000002</v>
      </c>
      <c r="H11">
        <v>4</v>
      </c>
      <c r="I11">
        <v>0.2</v>
      </c>
      <c r="J11" s="5">
        <v>21.03</v>
      </c>
      <c r="K11" s="9">
        <f>Table1[[#This Row],[Profit]]/Table1[[#This Row],[Sales]]%</f>
        <v>6.9098077870872343</v>
      </c>
    </row>
    <row r="12" spans="1:11" x14ac:dyDescent="0.2">
      <c r="A12" t="s">
        <v>20</v>
      </c>
      <c r="B12" s="7">
        <v>45088</v>
      </c>
      <c r="C12" t="s">
        <v>211</v>
      </c>
      <c r="D12" t="s">
        <v>215</v>
      </c>
      <c r="E12" t="s">
        <v>218</v>
      </c>
      <c r="F12" t="s">
        <v>226</v>
      </c>
      <c r="G12" s="5">
        <v>890.45</v>
      </c>
      <c r="H12">
        <v>8</v>
      </c>
      <c r="I12">
        <v>0.05</v>
      </c>
      <c r="J12" s="5">
        <v>58.97</v>
      </c>
      <c r="K12" s="9">
        <f>Table1[[#This Row],[Profit]]/Table1[[#This Row],[Sales]]%</f>
        <v>6.6224942444831258</v>
      </c>
    </row>
    <row r="13" spans="1:11" x14ac:dyDescent="0.2">
      <c r="A13" t="s">
        <v>21</v>
      </c>
      <c r="B13" s="7">
        <v>45053</v>
      </c>
      <c r="C13" t="s">
        <v>212</v>
      </c>
      <c r="D13" t="s">
        <v>215</v>
      </c>
      <c r="E13" t="s">
        <v>219</v>
      </c>
      <c r="F13" t="s">
        <v>226</v>
      </c>
      <c r="G13" s="5">
        <v>902.93</v>
      </c>
      <c r="H13">
        <v>7</v>
      </c>
      <c r="I13">
        <v>0.1</v>
      </c>
      <c r="J13" s="5">
        <v>4.3600000000000003</v>
      </c>
      <c r="K13" s="9">
        <f>Table1[[#This Row],[Profit]]/Table1[[#This Row],[Sales]]%</f>
        <v>0.4828724264339429</v>
      </c>
    </row>
    <row r="14" spans="1:11" x14ac:dyDescent="0.2">
      <c r="A14" t="s">
        <v>22</v>
      </c>
      <c r="B14" s="7">
        <v>44997</v>
      </c>
      <c r="C14" t="s">
        <v>213</v>
      </c>
      <c r="D14" t="s">
        <v>214</v>
      </c>
      <c r="E14" t="s">
        <v>223</v>
      </c>
      <c r="F14" t="s">
        <v>227</v>
      </c>
      <c r="G14" s="5">
        <v>195.2</v>
      </c>
      <c r="H14">
        <v>3</v>
      </c>
      <c r="I14">
        <v>0.15</v>
      </c>
      <c r="J14" s="5">
        <v>9.58</v>
      </c>
      <c r="K14" s="9">
        <f>Table1[[#This Row],[Profit]]/Table1[[#This Row],[Sales]]%</f>
        <v>4.9077868852459021</v>
      </c>
    </row>
    <row r="15" spans="1:11" x14ac:dyDescent="0.2">
      <c r="A15" t="s">
        <v>23</v>
      </c>
      <c r="B15" s="7">
        <v>45124</v>
      </c>
      <c r="C15" t="s">
        <v>213</v>
      </c>
      <c r="D15" t="s">
        <v>215</v>
      </c>
      <c r="E15" t="s">
        <v>218</v>
      </c>
      <c r="F15" t="s">
        <v>228</v>
      </c>
      <c r="G15" s="5">
        <v>288.83999999999997</v>
      </c>
      <c r="H15">
        <v>9</v>
      </c>
      <c r="I15">
        <v>0</v>
      </c>
      <c r="J15" s="5">
        <v>63.57</v>
      </c>
      <c r="K15" s="9">
        <f>Table1[[#This Row],[Profit]]/Table1[[#This Row],[Sales]]%</f>
        <v>22.00872455338596</v>
      </c>
    </row>
    <row r="16" spans="1:11" x14ac:dyDescent="0.2">
      <c r="A16" t="s">
        <v>24</v>
      </c>
      <c r="B16" s="7">
        <v>44985</v>
      </c>
      <c r="C16" t="s">
        <v>212</v>
      </c>
      <c r="D16" t="s">
        <v>215</v>
      </c>
      <c r="E16" t="s">
        <v>218</v>
      </c>
      <c r="F16" t="s">
        <v>227</v>
      </c>
      <c r="G16" s="5">
        <v>328.83</v>
      </c>
      <c r="H16">
        <v>3</v>
      </c>
      <c r="I16">
        <v>0.15</v>
      </c>
      <c r="J16" s="5">
        <v>-32.619999999999997</v>
      </c>
      <c r="K16" s="9">
        <f>Table1[[#This Row],[Profit]]/Table1[[#This Row],[Sales]]%</f>
        <v>-9.9200194629443779</v>
      </c>
    </row>
    <row r="17" spans="1:11" x14ac:dyDescent="0.2">
      <c r="A17" t="s">
        <v>25</v>
      </c>
      <c r="B17" s="7">
        <v>45061</v>
      </c>
      <c r="C17" t="s">
        <v>211</v>
      </c>
      <c r="D17" t="s">
        <v>215</v>
      </c>
      <c r="E17" t="s">
        <v>221</v>
      </c>
      <c r="F17" t="s">
        <v>228</v>
      </c>
      <c r="G17" s="5">
        <v>333.52</v>
      </c>
      <c r="H17">
        <v>9</v>
      </c>
      <c r="I17">
        <v>0.2</v>
      </c>
      <c r="J17" s="5">
        <v>-33.44</v>
      </c>
      <c r="K17" s="9">
        <f>Table1[[#This Row],[Profit]]/Table1[[#This Row],[Sales]]%</f>
        <v>-10.026385224274406</v>
      </c>
    </row>
    <row r="18" spans="1:11" x14ac:dyDescent="0.2">
      <c r="A18" t="s">
        <v>26</v>
      </c>
      <c r="B18" s="7">
        <v>45118</v>
      </c>
      <c r="C18" t="s">
        <v>211</v>
      </c>
      <c r="D18" t="s">
        <v>215</v>
      </c>
      <c r="E18" t="s">
        <v>219</v>
      </c>
      <c r="F18" t="s">
        <v>227</v>
      </c>
      <c r="G18" s="5">
        <v>619</v>
      </c>
      <c r="H18">
        <v>8</v>
      </c>
      <c r="I18">
        <v>0</v>
      </c>
      <c r="J18" s="5">
        <v>48.26</v>
      </c>
      <c r="K18" s="9">
        <f>Table1[[#This Row],[Profit]]/Table1[[#This Row],[Sales]]%</f>
        <v>7.7964458804523415</v>
      </c>
    </row>
    <row r="19" spans="1:11" x14ac:dyDescent="0.2">
      <c r="A19" t="s">
        <v>27</v>
      </c>
      <c r="B19" s="7">
        <v>45112</v>
      </c>
      <c r="C19" t="s">
        <v>212</v>
      </c>
      <c r="D19" t="s">
        <v>214</v>
      </c>
      <c r="E19" t="s">
        <v>223</v>
      </c>
      <c r="F19" t="s">
        <v>227</v>
      </c>
      <c r="G19" s="5">
        <v>884.11</v>
      </c>
      <c r="H19">
        <v>2</v>
      </c>
      <c r="I19">
        <v>0</v>
      </c>
      <c r="J19" s="5">
        <v>205.98</v>
      </c>
      <c r="K19" s="9">
        <f>Table1[[#This Row],[Profit]]/Table1[[#This Row],[Sales]]%</f>
        <v>23.298005904242682</v>
      </c>
    </row>
    <row r="20" spans="1:11" x14ac:dyDescent="0.2">
      <c r="A20" t="s">
        <v>28</v>
      </c>
      <c r="B20" s="7">
        <v>44962</v>
      </c>
      <c r="C20" t="s">
        <v>211</v>
      </c>
      <c r="D20" t="s">
        <v>214</v>
      </c>
      <c r="E20" t="s">
        <v>217</v>
      </c>
      <c r="F20" t="s">
        <v>226</v>
      </c>
      <c r="G20" s="5">
        <v>949.51</v>
      </c>
      <c r="H20">
        <v>3</v>
      </c>
      <c r="I20">
        <v>0.1</v>
      </c>
      <c r="J20" s="5">
        <v>77.78</v>
      </c>
      <c r="K20" s="9">
        <f>Table1[[#This Row],[Profit]]/Table1[[#This Row],[Sales]]%</f>
        <v>8.1915935587829498</v>
      </c>
    </row>
    <row r="21" spans="1:11" x14ac:dyDescent="0.2">
      <c r="A21" t="s">
        <v>29</v>
      </c>
      <c r="B21" s="7">
        <v>45237</v>
      </c>
      <c r="C21" t="s">
        <v>213</v>
      </c>
      <c r="D21" t="s">
        <v>214</v>
      </c>
      <c r="E21" t="s">
        <v>217</v>
      </c>
      <c r="F21" t="s">
        <v>228</v>
      </c>
      <c r="G21" s="5">
        <v>705.37</v>
      </c>
      <c r="H21">
        <v>5</v>
      </c>
      <c r="I21">
        <v>0.15</v>
      </c>
      <c r="J21" s="5">
        <v>104.95</v>
      </c>
      <c r="K21" s="9">
        <f>Table1[[#This Row],[Profit]]/Table1[[#This Row],[Sales]]%</f>
        <v>14.878716134794505</v>
      </c>
    </row>
    <row r="22" spans="1:11" x14ac:dyDescent="0.2">
      <c r="A22" t="s">
        <v>30</v>
      </c>
      <c r="B22" s="7">
        <v>45259</v>
      </c>
      <c r="C22" t="s">
        <v>212</v>
      </c>
      <c r="D22" t="s">
        <v>216</v>
      </c>
      <c r="E22" t="s">
        <v>224</v>
      </c>
      <c r="F22" t="s">
        <v>226</v>
      </c>
      <c r="G22" s="5">
        <v>164.95</v>
      </c>
      <c r="H22">
        <v>4</v>
      </c>
      <c r="I22">
        <v>0</v>
      </c>
      <c r="J22" s="5">
        <v>22.19</v>
      </c>
      <c r="K22" s="9">
        <f>Table1[[#This Row],[Profit]]/Table1[[#This Row],[Sales]]%</f>
        <v>13.452561382237043</v>
      </c>
    </row>
    <row r="23" spans="1:11" x14ac:dyDescent="0.2">
      <c r="A23" t="s">
        <v>31</v>
      </c>
      <c r="B23" s="7">
        <v>45228</v>
      </c>
      <c r="C23" t="s">
        <v>211</v>
      </c>
      <c r="D23" t="s">
        <v>215</v>
      </c>
      <c r="E23" t="s">
        <v>221</v>
      </c>
      <c r="F23" t="s">
        <v>227</v>
      </c>
      <c r="G23" s="5">
        <v>117.44</v>
      </c>
      <c r="H23">
        <v>1</v>
      </c>
      <c r="I23">
        <v>0.05</v>
      </c>
      <c r="J23" s="5">
        <v>1.98</v>
      </c>
      <c r="K23" s="9">
        <f>Table1[[#This Row],[Profit]]/Table1[[#This Row],[Sales]]%</f>
        <v>1.6859673024523163</v>
      </c>
    </row>
    <row r="24" spans="1:11" x14ac:dyDescent="0.2">
      <c r="A24" t="s">
        <v>32</v>
      </c>
      <c r="B24" s="7">
        <v>44943</v>
      </c>
      <c r="C24" t="s">
        <v>212</v>
      </c>
      <c r="D24" t="s">
        <v>214</v>
      </c>
      <c r="E24" t="s">
        <v>217</v>
      </c>
      <c r="F24" t="s">
        <v>227</v>
      </c>
      <c r="G24" s="5">
        <v>314.55</v>
      </c>
      <c r="H24">
        <v>8</v>
      </c>
      <c r="I24">
        <v>0.05</v>
      </c>
      <c r="J24" s="5">
        <v>42.4</v>
      </c>
      <c r="K24" s="9">
        <f>Table1[[#This Row],[Profit]]/Table1[[#This Row],[Sales]]%</f>
        <v>13.479573994595453</v>
      </c>
    </row>
    <row r="25" spans="1:11" x14ac:dyDescent="0.2">
      <c r="A25" t="s">
        <v>33</v>
      </c>
      <c r="B25" s="7">
        <v>45219</v>
      </c>
      <c r="C25" t="s">
        <v>213</v>
      </c>
      <c r="D25" t="s">
        <v>214</v>
      </c>
      <c r="E25" t="s">
        <v>222</v>
      </c>
      <c r="F25" t="s">
        <v>226</v>
      </c>
      <c r="G25" s="5">
        <v>230.89</v>
      </c>
      <c r="H25">
        <v>2</v>
      </c>
      <c r="I25">
        <v>0.15</v>
      </c>
      <c r="J25" s="5">
        <v>-2.64</v>
      </c>
      <c r="K25" s="9">
        <f>Table1[[#This Row],[Profit]]/Table1[[#This Row],[Sales]]%</f>
        <v>-1.1434016198189614</v>
      </c>
    </row>
    <row r="26" spans="1:11" x14ac:dyDescent="0.2">
      <c r="A26" t="s">
        <v>34</v>
      </c>
      <c r="B26" s="7">
        <v>45137</v>
      </c>
      <c r="C26" t="s">
        <v>213</v>
      </c>
      <c r="D26" t="s">
        <v>215</v>
      </c>
      <c r="E26" t="s">
        <v>221</v>
      </c>
      <c r="F26" t="s">
        <v>228</v>
      </c>
      <c r="G26" s="5">
        <v>670.78</v>
      </c>
      <c r="H26">
        <v>2</v>
      </c>
      <c r="I26">
        <v>0</v>
      </c>
      <c r="J26" s="5">
        <v>101.06</v>
      </c>
      <c r="K26" s="9">
        <f>Table1[[#This Row],[Profit]]/Table1[[#This Row],[Sales]]%</f>
        <v>15.066042517666002</v>
      </c>
    </row>
    <row r="27" spans="1:11" x14ac:dyDescent="0.2">
      <c r="A27" t="s">
        <v>35</v>
      </c>
      <c r="B27" s="7">
        <v>45100</v>
      </c>
      <c r="C27" t="s">
        <v>210</v>
      </c>
      <c r="D27" t="s">
        <v>214</v>
      </c>
      <c r="E27" t="s">
        <v>223</v>
      </c>
      <c r="F27" t="s">
        <v>227</v>
      </c>
      <c r="G27" s="5">
        <v>559.47</v>
      </c>
      <c r="H27">
        <v>3</v>
      </c>
      <c r="I27">
        <v>0.15</v>
      </c>
      <c r="J27" s="5">
        <v>-30.28</v>
      </c>
      <c r="K27" s="9">
        <f>Table1[[#This Row],[Profit]]/Table1[[#This Row],[Sales]]%</f>
        <v>-5.4122651795449261</v>
      </c>
    </row>
    <row r="28" spans="1:11" x14ac:dyDescent="0.2">
      <c r="A28" t="s">
        <v>36</v>
      </c>
      <c r="B28" s="7">
        <v>45163</v>
      </c>
      <c r="C28" t="s">
        <v>211</v>
      </c>
      <c r="D28" t="s">
        <v>214</v>
      </c>
      <c r="E28" t="s">
        <v>222</v>
      </c>
      <c r="F28" t="s">
        <v>228</v>
      </c>
      <c r="G28" s="5">
        <v>143.01</v>
      </c>
      <c r="H28">
        <v>9</v>
      </c>
      <c r="I28">
        <v>0</v>
      </c>
      <c r="J28" s="5">
        <v>41.79</v>
      </c>
      <c r="K28" s="9">
        <f>Table1[[#This Row],[Profit]]/Table1[[#This Row],[Sales]]%</f>
        <v>29.221732745961823</v>
      </c>
    </row>
    <row r="29" spans="1:11" x14ac:dyDescent="0.2">
      <c r="A29" t="s">
        <v>37</v>
      </c>
      <c r="B29" s="7">
        <v>45048</v>
      </c>
      <c r="C29" t="s">
        <v>211</v>
      </c>
      <c r="D29" t="s">
        <v>216</v>
      </c>
      <c r="E29" t="s">
        <v>220</v>
      </c>
      <c r="F29" t="s">
        <v>226</v>
      </c>
      <c r="G29" s="5">
        <v>253.06</v>
      </c>
      <c r="H29">
        <v>7</v>
      </c>
      <c r="I29">
        <v>0</v>
      </c>
      <c r="J29" s="5">
        <v>23.07</v>
      </c>
      <c r="K29" s="9">
        <f>Table1[[#This Row],[Profit]]/Table1[[#This Row],[Sales]]%</f>
        <v>9.1164150794278029</v>
      </c>
    </row>
    <row r="30" spans="1:11" x14ac:dyDescent="0.2">
      <c r="A30" t="s">
        <v>38</v>
      </c>
      <c r="B30" s="7">
        <v>44928</v>
      </c>
      <c r="C30" t="s">
        <v>213</v>
      </c>
      <c r="D30" t="s">
        <v>216</v>
      </c>
      <c r="E30" t="s">
        <v>220</v>
      </c>
      <c r="F30" t="s">
        <v>226</v>
      </c>
      <c r="G30" s="5">
        <v>451.86</v>
      </c>
      <c r="H30">
        <v>9</v>
      </c>
      <c r="I30">
        <v>0.15</v>
      </c>
      <c r="J30" s="5">
        <v>-27.7</v>
      </c>
      <c r="K30" s="9">
        <f>Table1[[#This Row],[Profit]]/Table1[[#This Row],[Sales]]%</f>
        <v>-6.1302173239498954</v>
      </c>
    </row>
    <row r="31" spans="1:11" x14ac:dyDescent="0.2">
      <c r="A31" t="s">
        <v>39</v>
      </c>
      <c r="B31" s="7">
        <v>45078</v>
      </c>
      <c r="C31" t="s">
        <v>211</v>
      </c>
      <c r="D31" t="s">
        <v>214</v>
      </c>
      <c r="E31" t="s">
        <v>217</v>
      </c>
      <c r="F31" t="s">
        <v>228</v>
      </c>
      <c r="G31" s="5">
        <v>565.09</v>
      </c>
      <c r="H31">
        <v>6</v>
      </c>
      <c r="I31">
        <v>0</v>
      </c>
      <c r="J31" s="5">
        <v>35.340000000000003</v>
      </c>
      <c r="K31" s="9">
        <f>Table1[[#This Row],[Profit]]/Table1[[#This Row],[Sales]]%</f>
        <v>6.2538710647861411</v>
      </c>
    </row>
    <row r="32" spans="1:11" x14ac:dyDescent="0.2">
      <c r="A32" t="s">
        <v>40</v>
      </c>
      <c r="B32" s="7">
        <v>45171</v>
      </c>
      <c r="C32" t="s">
        <v>211</v>
      </c>
      <c r="D32" t="s">
        <v>214</v>
      </c>
      <c r="E32" t="s">
        <v>217</v>
      </c>
      <c r="F32" t="s">
        <v>227</v>
      </c>
      <c r="G32" s="5">
        <v>858.78</v>
      </c>
      <c r="H32">
        <v>2</v>
      </c>
      <c r="I32">
        <v>0.2</v>
      </c>
      <c r="J32" s="5">
        <v>-114.23</v>
      </c>
      <c r="K32" s="9">
        <f>Table1[[#This Row],[Profit]]/Table1[[#This Row],[Sales]]%</f>
        <v>-13.301427606604719</v>
      </c>
    </row>
    <row r="33" spans="1:11" x14ac:dyDescent="0.2">
      <c r="A33" t="s">
        <v>41</v>
      </c>
      <c r="B33" s="7">
        <v>45047</v>
      </c>
      <c r="C33" t="s">
        <v>213</v>
      </c>
      <c r="D33" t="s">
        <v>214</v>
      </c>
      <c r="E33" t="s">
        <v>217</v>
      </c>
      <c r="F33" t="s">
        <v>227</v>
      </c>
      <c r="G33" s="5">
        <v>599.97</v>
      </c>
      <c r="H33">
        <v>1</v>
      </c>
      <c r="I33">
        <v>0.2</v>
      </c>
      <c r="J33" s="5">
        <v>-77.7</v>
      </c>
      <c r="K33" s="9">
        <f>Table1[[#This Row],[Profit]]/Table1[[#This Row],[Sales]]%</f>
        <v>-12.950647532376617</v>
      </c>
    </row>
    <row r="34" spans="1:11" x14ac:dyDescent="0.2">
      <c r="A34" t="s">
        <v>42</v>
      </c>
      <c r="B34" s="7">
        <v>45263</v>
      </c>
      <c r="C34" t="s">
        <v>212</v>
      </c>
      <c r="D34" t="s">
        <v>216</v>
      </c>
      <c r="E34" t="s">
        <v>225</v>
      </c>
      <c r="F34" t="s">
        <v>228</v>
      </c>
      <c r="G34" s="5">
        <v>730.38</v>
      </c>
      <c r="H34">
        <v>4</v>
      </c>
      <c r="I34">
        <v>0.1</v>
      </c>
      <c r="J34" s="5">
        <v>35.75</v>
      </c>
      <c r="K34" s="9">
        <f>Table1[[#This Row],[Profit]]/Table1[[#This Row],[Sales]]%</f>
        <v>4.8947123415208527</v>
      </c>
    </row>
    <row r="35" spans="1:11" x14ac:dyDescent="0.2">
      <c r="A35" t="s">
        <v>43</v>
      </c>
      <c r="B35" s="7">
        <v>45270</v>
      </c>
      <c r="C35" t="s">
        <v>212</v>
      </c>
      <c r="D35" t="s">
        <v>216</v>
      </c>
      <c r="E35" t="s">
        <v>220</v>
      </c>
      <c r="F35" t="s">
        <v>227</v>
      </c>
      <c r="G35" s="5">
        <v>58.85</v>
      </c>
      <c r="H35">
        <v>10</v>
      </c>
      <c r="I35">
        <v>0.2</v>
      </c>
      <c r="J35" s="5">
        <v>5.83</v>
      </c>
      <c r="K35" s="9">
        <f>Table1[[#This Row],[Profit]]/Table1[[#This Row],[Sales]]%</f>
        <v>9.9065420560747661</v>
      </c>
    </row>
    <row r="36" spans="1:11" x14ac:dyDescent="0.2">
      <c r="A36" t="s">
        <v>44</v>
      </c>
      <c r="B36" s="7">
        <v>44964</v>
      </c>
      <c r="C36" t="s">
        <v>211</v>
      </c>
      <c r="D36" t="s">
        <v>215</v>
      </c>
      <c r="E36" t="s">
        <v>218</v>
      </c>
      <c r="F36" t="s">
        <v>227</v>
      </c>
      <c r="G36" s="5">
        <v>936.6</v>
      </c>
      <c r="H36">
        <v>2</v>
      </c>
      <c r="I36">
        <v>0.05</v>
      </c>
      <c r="J36" s="5">
        <v>86.52</v>
      </c>
      <c r="K36" s="9">
        <f>Table1[[#This Row],[Profit]]/Table1[[#This Row],[Sales]]%</f>
        <v>9.2376681614349767</v>
      </c>
    </row>
    <row r="37" spans="1:11" x14ac:dyDescent="0.2">
      <c r="A37" t="s">
        <v>45</v>
      </c>
      <c r="B37" s="7">
        <v>45007</v>
      </c>
      <c r="C37" t="s">
        <v>213</v>
      </c>
      <c r="D37" t="s">
        <v>215</v>
      </c>
      <c r="E37" t="s">
        <v>219</v>
      </c>
      <c r="F37" t="s">
        <v>226</v>
      </c>
      <c r="G37" s="5">
        <v>631.09</v>
      </c>
      <c r="H37">
        <v>9</v>
      </c>
      <c r="I37">
        <v>0</v>
      </c>
      <c r="J37" s="5">
        <v>136.91999999999999</v>
      </c>
      <c r="K37" s="9">
        <f>Table1[[#This Row],[Profit]]/Table1[[#This Row],[Sales]]%</f>
        <v>21.695796162195563</v>
      </c>
    </row>
    <row r="38" spans="1:11" x14ac:dyDescent="0.2">
      <c r="A38" t="s">
        <v>46</v>
      </c>
      <c r="B38" s="7">
        <v>45210</v>
      </c>
      <c r="C38" t="s">
        <v>212</v>
      </c>
      <c r="D38" t="s">
        <v>215</v>
      </c>
      <c r="E38" t="s">
        <v>221</v>
      </c>
      <c r="F38" t="s">
        <v>227</v>
      </c>
      <c r="G38" s="5">
        <v>301.24</v>
      </c>
      <c r="H38">
        <v>2</v>
      </c>
      <c r="I38">
        <v>0.2</v>
      </c>
      <c r="J38" s="5">
        <v>-33.479999999999997</v>
      </c>
      <c r="K38" s="9">
        <f>Table1[[#This Row],[Profit]]/Table1[[#This Row],[Sales]]%</f>
        <v>-11.114061877572698</v>
      </c>
    </row>
    <row r="39" spans="1:11" x14ac:dyDescent="0.2">
      <c r="A39" t="s">
        <v>47</v>
      </c>
      <c r="B39" s="7">
        <v>45071</v>
      </c>
      <c r="C39" t="s">
        <v>211</v>
      </c>
      <c r="D39" t="s">
        <v>215</v>
      </c>
      <c r="E39" t="s">
        <v>218</v>
      </c>
      <c r="F39" t="s">
        <v>227</v>
      </c>
      <c r="G39" s="5">
        <v>703.12</v>
      </c>
      <c r="H39">
        <v>5</v>
      </c>
      <c r="I39">
        <v>0.2</v>
      </c>
      <c r="J39" s="5">
        <v>-19.59</v>
      </c>
      <c r="K39" s="9">
        <f>Table1[[#This Row],[Profit]]/Table1[[#This Row],[Sales]]%</f>
        <v>-2.7861531459779267</v>
      </c>
    </row>
    <row r="40" spans="1:11" x14ac:dyDescent="0.2">
      <c r="A40" t="s">
        <v>48</v>
      </c>
      <c r="B40" s="7">
        <v>44953</v>
      </c>
      <c r="C40" t="s">
        <v>210</v>
      </c>
      <c r="D40" t="s">
        <v>215</v>
      </c>
      <c r="E40" t="s">
        <v>218</v>
      </c>
      <c r="F40" t="s">
        <v>226</v>
      </c>
      <c r="G40" s="5">
        <v>91.88</v>
      </c>
      <c r="H40">
        <v>6</v>
      </c>
      <c r="I40">
        <v>0.05</v>
      </c>
      <c r="J40" s="5">
        <v>14.63</v>
      </c>
      <c r="K40" s="9">
        <f>Table1[[#This Row],[Profit]]/Table1[[#This Row],[Sales]]%</f>
        <v>15.922942969090119</v>
      </c>
    </row>
    <row r="41" spans="1:11" x14ac:dyDescent="0.2">
      <c r="A41" t="s">
        <v>49</v>
      </c>
      <c r="B41" s="7">
        <v>45061</v>
      </c>
      <c r="C41" t="s">
        <v>211</v>
      </c>
      <c r="D41" t="s">
        <v>215</v>
      </c>
      <c r="E41" t="s">
        <v>218</v>
      </c>
      <c r="F41" t="s">
        <v>228</v>
      </c>
      <c r="G41" s="5">
        <v>720.38</v>
      </c>
      <c r="H41">
        <v>9</v>
      </c>
      <c r="I41">
        <v>0</v>
      </c>
      <c r="J41" s="5">
        <v>56.17</v>
      </c>
      <c r="K41" s="9">
        <f>Table1[[#This Row],[Profit]]/Table1[[#This Row],[Sales]]%</f>
        <v>7.7972736611232962</v>
      </c>
    </row>
    <row r="42" spans="1:11" x14ac:dyDescent="0.2">
      <c r="A42" t="s">
        <v>50</v>
      </c>
      <c r="B42" s="7">
        <v>45280</v>
      </c>
      <c r="C42" t="s">
        <v>211</v>
      </c>
      <c r="D42" t="s">
        <v>215</v>
      </c>
      <c r="E42" t="s">
        <v>221</v>
      </c>
      <c r="F42" t="s">
        <v>226</v>
      </c>
      <c r="G42" s="5">
        <v>603.38</v>
      </c>
      <c r="H42">
        <v>3</v>
      </c>
      <c r="I42">
        <v>0.15</v>
      </c>
      <c r="J42" s="5">
        <v>-41.11</v>
      </c>
      <c r="K42" s="9">
        <f>Table1[[#This Row],[Profit]]/Table1[[#This Row],[Sales]]%</f>
        <v>-6.8132851602638462</v>
      </c>
    </row>
    <row r="43" spans="1:11" x14ac:dyDescent="0.2">
      <c r="A43" t="s">
        <v>51</v>
      </c>
      <c r="B43" s="7">
        <v>45084</v>
      </c>
      <c r="C43" t="s">
        <v>212</v>
      </c>
      <c r="D43" t="s">
        <v>214</v>
      </c>
      <c r="E43" t="s">
        <v>222</v>
      </c>
      <c r="F43" t="s">
        <v>227</v>
      </c>
      <c r="G43" s="5">
        <v>697.96</v>
      </c>
      <c r="H43">
        <v>2</v>
      </c>
      <c r="I43">
        <v>0.1</v>
      </c>
      <c r="J43" s="5">
        <v>101.22</v>
      </c>
      <c r="K43" s="9">
        <f>Table1[[#This Row],[Profit]]/Table1[[#This Row],[Sales]]%</f>
        <v>14.502263740042409</v>
      </c>
    </row>
    <row r="44" spans="1:11" x14ac:dyDescent="0.2">
      <c r="A44" t="s">
        <v>52</v>
      </c>
      <c r="B44" s="7">
        <v>45135</v>
      </c>
      <c r="C44" t="s">
        <v>211</v>
      </c>
      <c r="D44" t="s">
        <v>214</v>
      </c>
      <c r="E44" t="s">
        <v>223</v>
      </c>
      <c r="F44" t="s">
        <v>227</v>
      </c>
      <c r="G44" s="5">
        <v>887.35</v>
      </c>
      <c r="H44">
        <v>1</v>
      </c>
      <c r="I44">
        <v>0.05</v>
      </c>
      <c r="J44" s="5">
        <v>163.4</v>
      </c>
      <c r="K44" s="9">
        <f>Table1[[#This Row],[Profit]]/Table1[[#This Row],[Sales]]%</f>
        <v>18.414379895193555</v>
      </c>
    </row>
    <row r="45" spans="1:11" x14ac:dyDescent="0.2">
      <c r="A45" t="s">
        <v>53</v>
      </c>
      <c r="B45" s="7">
        <v>45097</v>
      </c>
      <c r="C45" t="s">
        <v>213</v>
      </c>
      <c r="D45" t="s">
        <v>215</v>
      </c>
      <c r="E45" t="s">
        <v>219</v>
      </c>
      <c r="F45" t="s">
        <v>227</v>
      </c>
      <c r="G45" s="5">
        <v>303.47000000000003</v>
      </c>
      <c r="H45">
        <v>2</v>
      </c>
      <c r="I45">
        <v>0.15</v>
      </c>
      <c r="J45" s="5">
        <v>35.82</v>
      </c>
      <c r="K45" s="9">
        <f>Table1[[#This Row],[Profit]]/Table1[[#This Row],[Sales]]%</f>
        <v>11.803473160444193</v>
      </c>
    </row>
    <row r="46" spans="1:11" x14ac:dyDescent="0.2">
      <c r="A46" t="s">
        <v>54</v>
      </c>
      <c r="B46" s="7">
        <v>45167</v>
      </c>
      <c r="C46" t="s">
        <v>211</v>
      </c>
      <c r="D46" t="s">
        <v>214</v>
      </c>
      <c r="E46" t="s">
        <v>222</v>
      </c>
      <c r="F46" t="s">
        <v>226</v>
      </c>
      <c r="G46" s="5">
        <v>339.93</v>
      </c>
      <c r="H46">
        <v>4</v>
      </c>
      <c r="I46">
        <v>0.05</v>
      </c>
      <c r="J46" s="5">
        <v>2.0099999999999998</v>
      </c>
      <c r="K46" s="9">
        <f>Table1[[#This Row],[Profit]]/Table1[[#This Row],[Sales]]%</f>
        <v>0.59129820845468173</v>
      </c>
    </row>
    <row r="47" spans="1:11" x14ac:dyDescent="0.2">
      <c r="A47" t="s">
        <v>55</v>
      </c>
      <c r="B47" s="7">
        <v>45025</v>
      </c>
      <c r="C47" t="s">
        <v>213</v>
      </c>
      <c r="D47" t="s">
        <v>216</v>
      </c>
      <c r="E47" t="s">
        <v>220</v>
      </c>
      <c r="F47" t="s">
        <v>227</v>
      </c>
      <c r="G47" s="5">
        <v>968.54</v>
      </c>
      <c r="H47">
        <v>5</v>
      </c>
      <c r="I47">
        <v>0.1</v>
      </c>
      <c r="J47" s="5">
        <v>106.9</v>
      </c>
      <c r="K47" s="9">
        <f>Table1[[#This Row],[Profit]]/Table1[[#This Row],[Sales]]%</f>
        <v>11.037231296590745</v>
      </c>
    </row>
    <row r="48" spans="1:11" x14ac:dyDescent="0.2">
      <c r="A48" t="s">
        <v>56</v>
      </c>
      <c r="B48" s="7">
        <v>45131</v>
      </c>
      <c r="C48" t="s">
        <v>212</v>
      </c>
      <c r="D48" t="s">
        <v>214</v>
      </c>
      <c r="E48" t="s">
        <v>223</v>
      </c>
      <c r="F48" t="s">
        <v>226</v>
      </c>
      <c r="G48" s="5">
        <v>219.64</v>
      </c>
      <c r="H48">
        <v>5</v>
      </c>
      <c r="I48">
        <v>0</v>
      </c>
      <c r="J48" s="5">
        <v>16.93</v>
      </c>
      <c r="K48" s="9">
        <f>Table1[[#This Row],[Profit]]/Table1[[#This Row],[Sales]]%</f>
        <v>7.7080677472227288</v>
      </c>
    </row>
    <row r="49" spans="1:11" x14ac:dyDescent="0.2">
      <c r="A49" t="s">
        <v>57</v>
      </c>
      <c r="B49" s="7">
        <v>45149</v>
      </c>
      <c r="C49" t="s">
        <v>212</v>
      </c>
      <c r="D49" t="s">
        <v>215</v>
      </c>
      <c r="E49" t="s">
        <v>218</v>
      </c>
      <c r="F49" t="s">
        <v>226</v>
      </c>
      <c r="G49" s="5">
        <v>625.9</v>
      </c>
      <c r="H49">
        <v>9</v>
      </c>
      <c r="I49">
        <v>0</v>
      </c>
      <c r="J49" s="5">
        <v>91.57</v>
      </c>
      <c r="K49" s="9">
        <f>Table1[[#This Row],[Profit]]/Table1[[#This Row],[Sales]]%</f>
        <v>14.630132609042978</v>
      </c>
    </row>
    <row r="50" spans="1:11" x14ac:dyDescent="0.2">
      <c r="A50" t="s">
        <v>58</v>
      </c>
      <c r="B50" s="7">
        <v>45222</v>
      </c>
      <c r="C50" t="s">
        <v>211</v>
      </c>
      <c r="D50" t="s">
        <v>216</v>
      </c>
      <c r="E50" t="s">
        <v>225</v>
      </c>
      <c r="F50" t="s">
        <v>228</v>
      </c>
      <c r="G50" s="5">
        <v>464.25</v>
      </c>
      <c r="H50">
        <v>9</v>
      </c>
      <c r="I50">
        <v>0.2</v>
      </c>
      <c r="J50" s="5">
        <v>10.08</v>
      </c>
      <c r="K50" s="9">
        <f>Table1[[#This Row],[Profit]]/Table1[[#This Row],[Sales]]%</f>
        <v>2.1712439418416802</v>
      </c>
    </row>
    <row r="51" spans="1:11" x14ac:dyDescent="0.2">
      <c r="A51" t="s">
        <v>59</v>
      </c>
      <c r="B51" s="7">
        <v>45270</v>
      </c>
      <c r="C51" t="s">
        <v>211</v>
      </c>
      <c r="D51" t="s">
        <v>216</v>
      </c>
      <c r="E51" t="s">
        <v>220</v>
      </c>
      <c r="F51" t="s">
        <v>227</v>
      </c>
      <c r="G51" s="5">
        <v>951.43</v>
      </c>
      <c r="H51">
        <v>6</v>
      </c>
      <c r="I51">
        <v>0.2</v>
      </c>
      <c r="J51" s="5">
        <v>-68.05</v>
      </c>
      <c r="K51" s="9">
        <f>Table1[[#This Row],[Profit]]/Table1[[#This Row],[Sales]]%</f>
        <v>-7.1523916630755817</v>
      </c>
    </row>
    <row r="52" spans="1:11" x14ac:dyDescent="0.2">
      <c r="A52" t="s">
        <v>60</v>
      </c>
      <c r="B52" s="7">
        <v>44990</v>
      </c>
      <c r="C52" t="s">
        <v>212</v>
      </c>
      <c r="D52" t="s">
        <v>215</v>
      </c>
      <c r="E52" t="s">
        <v>218</v>
      </c>
      <c r="F52" t="s">
        <v>228</v>
      </c>
      <c r="G52" s="5">
        <v>437.97</v>
      </c>
      <c r="H52">
        <v>7</v>
      </c>
      <c r="I52">
        <v>0.1</v>
      </c>
      <c r="J52" s="5">
        <v>38.81</v>
      </c>
      <c r="K52" s="9">
        <f>Table1[[#This Row],[Profit]]/Table1[[#This Row],[Sales]]%</f>
        <v>8.8613375345343286</v>
      </c>
    </row>
    <row r="53" spans="1:11" x14ac:dyDescent="0.2">
      <c r="A53" t="s">
        <v>61</v>
      </c>
      <c r="B53" s="7">
        <v>45025</v>
      </c>
      <c r="C53" t="s">
        <v>213</v>
      </c>
      <c r="D53" t="s">
        <v>215</v>
      </c>
      <c r="E53" t="s">
        <v>218</v>
      </c>
      <c r="F53" t="s">
        <v>228</v>
      </c>
      <c r="G53" s="5">
        <v>760.73</v>
      </c>
      <c r="H53">
        <v>3</v>
      </c>
      <c r="I53">
        <v>0.2</v>
      </c>
      <c r="J53" s="5">
        <v>-5.88</v>
      </c>
      <c r="K53" s="9">
        <f>Table1[[#This Row],[Profit]]/Table1[[#This Row],[Sales]]%</f>
        <v>-0.77294177960643062</v>
      </c>
    </row>
    <row r="54" spans="1:11" x14ac:dyDescent="0.2">
      <c r="A54" t="s">
        <v>62</v>
      </c>
      <c r="B54" s="7">
        <v>45134</v>
      </c>
      <c r="C54" t="s">
        <v>210</v>
      </c>
      <c r="D54" t="s">
        <v>216</v>
      </c>
      <c r="E54" t="s">
        <v>220</v>
      </c>
      <c r="F54" t="s">
        <v>227</v>
      </c>
      <c r="G54" s="5">
        <v>458.39</v>
      </c>
      <c r="H54">
        <v>10</v>
      </c>
      <c r="I54">
        <v>0.2</v>
      </c>
      <c r="J54" s="5">
        <v>6.27</v>
      </c>
      <c r="K54" s="9">
        <f>Table1[[#This Row],[Profit]]/Table1[[#This Row],[Sales]]%</f>
        <v>1.3678308863631405</v>
      </c>
    </row>
    <row r="55" spans="1:11" x14ac:dyDescent="0.2">
      <c r="A55" t="s">
        <v>63</v>
      </c>
      <c r="B55" s="7">
        <v>45165</v>
      </c>
      <c r="C55" t="s">
        <v>213</v>
      </c>
      <c r="D55" t="s">
        <v>216</v>
      </c>
      <c r="E55" t="s">
        <v>224</v>
      </c>
      <c r="F55" t="s">
        <v>227</v>
      </c>
      <c r="G55" s="5">
        <v>535.62</v>
      </c>
      <c r="H55">
        <v>3</v>
      </c>
      <c r="I55">
        <v>0</v>
      </c>
      <c r="J55" s="5">
        <v>64.78</v>
      </c>
      <c r="K55" s="9">
        <f>Table1[[#This Row],[Profit]]/Table1[[#This Row],[Sales]]%</f>
        <v>12.094395280235988</v>
      </c>
    </row>
    <row r="56" spans="1:11" x14ac:dyDescent="0.2">
      <c r="A56" t="s">
        <v>64</v>
      </c>
      <c r="B56" s="7">
        <v>45266</v>
      </c>
      <c r="C56" t="s">
        <v>212</v>
      </c>
      <c r="D56" t="s">
        <v>214</v>
      </c>
      <c r="E56" t="s">
        <v>223</v>
      </c>
      <c r="F56" t="s">
        <v>228</v>
      </c>
      <c r="G56" s="5">
        <v>344.9</v>
      </c>
      <c r="H56">
        <v>4</v>
      </c>
      <c r="I56">
        <v>0.05</v>
      </c>
      <c r="J56" s="5">
        <v>2.11</v>
      </c>
      <c r="K56" s="9">
        <f>Table1[[#This Row],[Profit]]/Table1[[#This Row],[Sales]]%</f>
        <v>0.61177152797912437</v>
      </c>
    </row>
    <row r="57" spans="1:11" x14ac:dyDescent="0.2">
      <c r="A57" t="s">
        <v>65</v>
      </c>
      <c r="B57" s="7">
        <v>45052</v>
      </c>
      <c r="C57" t="s">
        <v>213</v>
      </c>
      <c r="D57" t="s">
        <v>215</v>
      </c>
      <c r="E57" t="s">
        <v>221</v>
      </c>
      <c r="F57" t="s">
        <v>226</v>
      </c>
      <c r="G57" s="5">
        <v>443.72</v>
      </c>
      <c r="H57">
        <v>10</v>
      </c>
      <c r="I57">
        <v>0.05</v>
      </c>
      <c r="J57" s="5">
        <v>79.69</v>
      </c>
      <c r="K57" s="9">
        <f>Table1[[#This Row],[Profit]]/Table1[[#This Row],[Sales]]%</f>
        <v>17.959524024159375</v>
      </c>
    </row>
    <row r="58" spans="1:11" x14ac:dyDescent="0.2">
      <c r="A58" t="s">
        <v>66</v>
      </c>
      <c r="B58" s="7">
        <v>45123</v>
      </c>
      <c r="C58" t="s">
        <v>213</v>
      </c>
      <c r="D58" t="s">
        <v>216</v>
      </c>
      <c r="E58" t="s">
        <v>225</v>
      </c>
      <c r="F58" t="s">
        <v>227</v>
      </c>
      <c r="G58" s="5">
        <v>673.26</v>
      </c>
      <c r="H58">
        <v>1</v>
      </c>
      <c r="I58">
        <v>0</v>
      </c>
      <c r="J58" s="5">
        <v>164.68</v>
      </c>
      <c r="K58" s="9">
        <f>Table1[[#This Row],[Profit]]/Table1[[#This Row],[Sales]]%</f>
        <v>24.460089712740995</v>
      </c>
    </row>
    <row r="59" spans="1:11" x14ac:dyDescent="0.2">
      <c r="A59" t="s">
        <v>67</v>
      </c>
      <c r="B59" s="7">
        <v>45039</v>
      </c>
      <c r="C59" t="s">
        <v>211</v>
      </c>
      <c r="D59" t="s">
        <v>215</v>
      </c>
      <c r="E59" t="s">
        <v>219</v>
      </c>
      <c r="F59" t="s">
        <v>226</v>
      </c>
      <c r="G59" s="5">
        <v>97.71</v>
      </c>
      <c r="H59">
        <v>4</v>
      </c>
      <c r="I59">
        <v>0</v>
      </c>
      <c r="J59" s="5">
        <v>16.04</v>
      </c>
      <c r="K59" s="9">
        <f>Table1[[#This Row],[Profit]]/Table1[[#This Row],[Sales]]%</f>
        <v>16.415924675058847</v>
      </c>
    </row>
    <row r="60" spans="1:11" x14ac:dyDescent="0.2">
      <c r="A60" t="s">
        <v>68</v>
      </c>
      <c r="B60" s="7">
        <v>45164</v>
      </c>
      <c r="C60" t="s">
        <v>212</v>
      </c>
      <c r="D60" t="s">
        <v>216</v>
      </c>
      <c r="E60" t="s">
        <v>224</v>
      </c>
      <c r="F60" t="s">
        <v>228</v>
      </c>
      <c r="G60" s="5">
        <v>897.42</v>
      </c>
      <c r="H60">
        <v>7</v>
      </c>
      <c r="I60">
        <v>0.2</v>
      </c>
      <c r="J60" s="5">
        <v>-34.57</v>
      </c>
      <c r="K60" s="9">
        <f>Table1[[#This Row],[Profit]]/Table1[[#This Row],[Sales]]%</f>
        <v>-3.8521539524414434</v>
      </c>
    </row>
    <row r="61" spans="1:11" x14ac:dyDescent="0.2">
      <c r="A61" t="s">
        <v>69</v>
      </c>
      <c r="B61" s="7">
        <v>45008</v>
      </c>
      <c r="C61" t="s">
        <v>213</v>
      </c>
      <c r="D61" t="s">
        <v>216</v>
      </c>
      <c r="E61" t="s">
        <v>220</v>
      </c>
      <c r="F61" t="s">
        <v>227</v>
      </c>
      <c r="G61" s="5">
        <v>847.87</v>
      </c>
      <c r="H61">
        <v>5</v>
      </c>
      <c r="I61">
        <v>0.2</v>
      </c>
      <c r="J61" s="5">
        <v>-24.46</v>
      </c>
      <c r="K61" s="9">
        <f>Table1[[#This Row],[Profit]]/Table1[[#This Row],[Sales]]%</f>
        <v>-2.8848762192317219</v>
      </c>
    </row>
    <row r="62" spans="1:11" x14ac:dyDescent="0.2">
      <c r="A62" t="s">
        <v>70</v>
      </c>
      <c r="B62" s="7">
        <v>45049</v>
      </c>
      <c r="C62" t="s">
        <v>212</v>
      </c>
      <c r="D62" t="s">
        <v>216</v>
      </c>
      <c r="E62" t="s">
        <v>225</v>
      </c>
      <c r="F62" t="s">
        <v>228</v>
      </c>
      <c r="G62" s="5">
        <v>321.44</v>
      </c>
      <c r="H62">
        <v>5</v>
      </c>
      <c r="I62">
        <v>0.1</v>
      </c>
      <c r="J62" s="5">
        <v>9.6199999999999992</v>
      </c>
      <c r="K62" s="9">
        <f>Table1[[#This Row],[Profit]]/Table1[[#This Row],[Sales]]%</f>
        <v>2.9927824788451964</v>
      </c>
    </row>
    <row r="63" spans="1:11" x14ac:dyDescent="0.2">
      <c r="A63" t="s">
        <v>71</v>
      </c>
      <c r="B63" s="7">
        <v>45203</v>
      </c>
      <c r="C63" t="s">
        <v>210</v>
      </c>
      <c r="D63" t="s">
        <v>214</v>
      </c>
      <c r="E63" t="s">
        <v>223</v>
      </c>
      <c r="F63" t="s">
        <v>227</v>
      </c>
      <c r="G63" s="5">
        <v>413.88</v>
      </c>
      <c r="H63">
        <v>3</v>
      </c>
      <c r="I63">
        <v>0.05</v>
      </c>
      <c r="J63" s="5">
        <v>6.65</v>
      </c>
      <c r="K63" s="9">
        <f>Table1[[#This Row],[Profit]]/Table1[[#This Row],[Sales]]%</f>
        <v>1.6067459166908284</v>
      </c>
    </row>
    <row r="64" spans="1:11" x14ac:dyDescent="0.2">
      <c r="A64" t="s">
        <v>72</v>
      </c>
      <c r="B64" s="7">
        <v>45135</v>
      </c>
      <c r="C64" t="s">
        <v>212</v>
      </c>
      <c r="D64" t="s">
        <v>215</v>
      </c>
      <c r="E64" t="s">
        <v>218</v>
      </c>
      <c r="F64" t="s">
        <v>226</v>
      </c>
      <c r="G64" s="5">
        <v>109.15</v>
      </c>
      <c r="H64">
        <v>7</v>
      </c>
      <c r="I64">
        <v>0.15</v>
      </c>
      <c r="J64" s="5">
        <v>13.78</v>
      </c>
      <c r="K64" s="9">
        <f>Table1[[#This Row],[Profit]]/Table1[[#This Row],[Sales]]%</f>
        <v>12.624828218048554</v>
      </c>
    </row>
    <row r="65" spans="1:11" x14ac:dyDescent="0.2">
      <c r="A65" t="s">
        <v>73</v>
      </c>
      <c r="B65" s="7">
        <v>45226</v>
      </c>
      <c r="C65" t="s">
        <v>210</v>
      </c>
      <c r="D65" t="s">
        <v>215</v>
      </c>
      <c r="E65" t="s">
        <v>218</v>
      </c>
      <c r="F65" t="s">
        <v>226</v>
      </c>
      <c r="G65" s="5">
        <v>55.6</v>
      </c>
      <c r="H65">
        <v>6</v>
      </c>
      <c r="I65">
        <v>0.1</v>
      </c>
      <c r="J65" s="5">
        <v>7.69</v>
      </c>
      <c r="K65" s="9">
        <f>Table1[[#This Row],[Profit]]/Table1[[#This Row],[Sales]]%</f>
        <v>13.830935251798561</v>
      </c>
    </row>
    <row r="66" spans="1:11" x14ac:dyDescent="0.2">
      <c r="A66" t="s">
        <v>74</v>
      </c>
      <c r="B66" s="7">
        <v>45141</v>
      </c>
      <c r="C66" t="s">
        <v>211</v>
      </c>
      <c r="D66" t="s">
        <v>216</v>
      </c>
      <c r="E66" t="s">
        <v>225</v>
      </c>
      <c r="F66" t="s">
        <v>226</v>
      </c>
      <c r="G66" s="5">
        <v>464.04</v>
      </c>
      <c r="H66">
        <v>1</v>
      </c>
      <c r="I66">
        <v>0.15</v>
      </c>
      <c r="J66" s="5">
        <v>-7.41</v>
      </c>
      <c r="K66" s="9">
        <f>Table1[[#This Row],[Profit]]/Table1[[#This Row],[Sales]]%</f>
        <v>-1.5968450995603827</v>
      </c>
    </row>
    <row r="67" spans="1:11" x14ac:dyDescent="0.2">
      <c r="A67" t="s">
        <v>75</v>
      </c>
      <c r="B67" s="7">
        <v>45274</v>
      </c>
      <c r="C67" t="s">
        <v>213</v>
      </c>
      <c r="D67" t="s">
        <v>215</v>
      </c>
      <c r="E67" t="s">
        <v>221</v>
      </c>
      <c r="F67" t="s">
        <v>226</v>
      </c>
      <c r="G67" s="5">
        <v>923.56</v>
      </c>
      <c r="H67">
        <v>10</v>
      </c>
      <c r="I67">
        <v>0.2</v>
      </c>
      <c r="J67" s="5">
        <v>-132.31</v>
      </c>
      <c r="K67" s="9">
        <f>Table1[[#This Row],[Profit]]/Table1[[#This Row],[Sales]]%</f>
        <v>-14.326086014985492</v>
      </c>
    </row>
    <row r="68" spans="1:11" x14ac:dyDescent="0.2">
      <c r="A68" t="s">
        <v>76</v>
      </c>
      <c r="B68" s="7">
        <v>45128</v>
      </c>
      <c r="C68" t="s">
        <v>210</v>
      </c>
      <c r="D68" t="s">
        <v>214</v>
      </c>
      <c r="E68" t="s">
        <v>217</v>
      </c>
      <c r="F68" t="s">
        <v>226</v>
      </c>
      <c r="G68" s="5">
        <v>178.91</v>
      </c>
      <c r="H68">
        <v>8</v>
      </c>
      <c r="I68">
        <v>0.05</v>
      </c>
      <c r="J68" s="5">
        <v>2.25</v>
      </c>
      <c r="K68" s="9">
        <f>Table1[[#This Row],[Profit]]/Table1[[#This Row],[Sales]]%</f>
        <v>1.2576155608965403</v>
      </c>
    </row>
    <row r="69" spans="1:11" x14ac:dyDescent="0.2">
      <c r="A69" t="s">
        <v>77</v>
      </c>
      <c r="B69" s="7">
        <v>45121</v>
      </c>
      <c r="C69" t="s">
        <v>212</v>
      </c>
      <c r="D69" t="s">
        <v>214</v>
      </c>
      <c r="E69" t="s">
        <v>222</v>
      </c>
      <c r="F69" t="s">
        <v>226</v>
      </c>
      <c r="G69" s="5">
        <v>370.63</v>
      </c>
      <c r="H69">
        <v>7</v>
      </c>
      <c r="I69">
        <v>0.1</v>
      </c>
      <c r="J69" s="5">
        <v>51.15</v>
      </c>
      <c r="K69" s="9">
        <f>Table1[[#This Row],[Profit]]/Table1[[#This Row],[Sales]]%</f>
        <v>13.800825621239509</v>
      </c>
    </row>
    <row r="70" spans="1:11" x14ac:dyDescent="0.2">
      <c r="A70" t="s">
        <v>78</v>
      </c>
      <c r="B70" s="7">
        <v>45142</v>
      </c>
      <c r="C70" t="s">
        <v>212</v>
      </c>
      <c r="D70" t="s">
        <v>214</v>
      </c>
      <c r="E70" t="s">
        <v>222</v>
      </c>
      <c r="F70" t="s">
        <v>227</v>
      </c>
      <c r="G70" s="5">
        <v>761.57</v>
      </c>
      <c r="H70">
        <v>1</v>
      </c>
      <c r="I70">
        <v>0.1</v>
      </c>
      <c r="J70" s="5">
        <v>4.6100000000000003</v>
      </c>
      <c r="K70" s="9">
        <f>Table1[[#This Row],[Profit]]/Table1[[#This Row],[Sales]]%</f>
        <v>0.60532846619483438</v>
      </c>
    </row>
    <row r="71" spans="1:11" x14ac:dyDescent="0.2">
      <c r="A71" t="s">
        <v>79</v>
      </c>
      <c r="B71" s="7">
        <v>44962</v>
      </c>
      <c r="C71" t="s">
        <v>210</v>
      </c>
      <c r="D71" t="s">
        <v>214</v>
      </c>
      <c r="E71" t="s">
        <v>223</v>
      </c>
      <c r="F71" t="s">
        <v>227</v>
      </c>
      <c r="G71" s="5">
        <v>847.27</v>
      </c>
      <c r="H71">
        <v>10</v>
      </c>
      <c r="I71">
        <v>0.05</v>
      </c>
      <c r="J71" s="5">
        <v>50.53</v>
      </c>
      <c r="K71" s="9">
        <f>Table1[[#This Row],[Profit]]/Table1[[#This Row],[Sales]]%</f>
        <v>5.9638603986922707</v>
      </c>
    </row>
    <row r="72" spans="1:11" x14ac:dyDescent="0.2">
      <c r="A72" t="s">
        <v>80</v>
      </c>
      <c r="B72" s="7">
        <v>45169</v>
      </c>
      <c r="C72" t="s">
        <v>210</v>
      </c>
      <c r="D72" t="s">
        <v>215</v>
      </c>
      <c r="E72" t="s">
        <v>221</v>
      </c>
      <c r="F72" t="s">
        <v>226</v>
      </c>
      <c r="G72" s="5">
        <v>714.49</v>
      </c>
      <c r="H72">
        <v>6</v>
      </c>
      <c r="I72">
        <v>0.05</v>
      </c>
      <c r="J72" s="5">
        <v>108.23</v>
      </c>
      <c r="K72" s="9">
        <f>Table1[[#This Row],[Profit]]/Table1[[#This Row],[Sales]]%</f>
        <v>15.147867709834989</v>
      </c>
    </row>
    <row r="73" spans="1:11" x14ac:dyDescent="0.2">
      <c r="A73" t="s">
        <v>81</v>
      </c>
      <c r="B73" s="7">
        <v>44985</v>
      </c>
      <c r="C73" t="s">
        <v>211</v>
      </c>
      <c r="D73" t="s">
        <v>216</v>
      </c>
      <c r="E73" t="s">
        <v>225</v>
      </c>
      <c r="F73" t="s">
        <v>228</v>
      </c>
      <c r="G73" s="5">
        <v>74.39</v>
      </c>
      <c r="H73">
        <v>5</v>
      </c>
      <c r="I73">
        <v>0.2</v>
      </c>
      <c r="J73" s="5">
        <v>1.44</v>
      </c>
      <c r="K73" s="9">
        <f>Table1[[#This Row],[Profit]]/Table1[[#This Row],[Sales]]%</f>
        <v>1.9357440516198412</v>
      </c>
    </row>
    <row r="74" spans="1:11" x14ac:dyDescent="0.2">
      <c r="A74" t="s">
        <v>82</v>
      </c>
      <c r="B74" s="7">
        <v>45119</v>
      </c>
      <c r="C74" t="s">
        <v>213</v>
      </c>
      <c r="D74" t="s">
        <v>215</v>
      </c>
      <c r="E74" t="s">
        <v>221</v>
      </c>
      <c r="F74" t="s">
        <v>227</v>
      </c>
      <c r="G74" s="5">
        <v>612.49</v>
      </c>
      <c r="H74">
        <v>4</v>
      </c>
      <c r="I74">
        <v>0</v>
      </c>
      <c r="J74" s="5">
        <v>137.38</v>
      </c>
      <c r="K74" s="9">
        <f>Table1[[#This Row],[Profit]]/Table1[[#This Row],[Sales]]%</f>
        <v>22.429753955166614</v>
      </c>
    </row>
    <row r="75" spans="1:11" x14ac:dyDescent="0.2">
      <c r="A75" t="s">
        <v>83</v>
      </c>
      <c r="B75" s="7">
        <v>45081</v>
      </c>
      <c r="C75" t="s">
        <v>210</v>
      </c>
      <c r="D75" t="s">
        <v>215</v>
      </c>
      <c r="E75" t="s">
        <v>221</v>
      </c>
      <c r="F75" t="s">
        <v>226</v>
      </c>
      <c r="G75" s="5">
        <v>556.11</v>
      </c>
      <c r="H75">
        <v>6</v>
      </c>
      <c r="I75">
        <v>0</v>
      </c>
      <c r="J75" s="5">
        <v>98.15</v>
      </c>
      <c r="K75" s="9">
        <f>Table1[[#This Row],[Profit]]/Table1[[#This Row],[Sales]]%</f>
        <v>17.649385912858968</v>
      </c>
    </row>
    <row r="76" spans="1:11" x14ac:dyDescent="0.2">
      <c r="A76" t="s">
        <v>84</v>
      </c>
      <c r="B76" s="7">
        <v>45101</v>
      </c>
      <c r="C76" t="s">
        <v>210</v>
      </c>
      <c r="D76" t="s">
        <v>216</v>
      </c>
      <c r="E76" t="s">
        <v>220</v>
      </c>
      <c r="F76" t="s">
        <v>227</v>
      </c>
      <c r="G76" s="5">
        <v>461.85</v>
      </c>
      <c r="H76">
        <v>6</v>
      </c>
      <c r="I76">
        <v>0.15</v>
      </c>
      <c r="J76" s="5">
        <v>35.479999999999997</v>
      </c>
      <c r="K76" s="9">
        <f>Table1[[#This Row],[Profit]]/Table1[[#This Row],[Sales]]%</f>
        <v>7.6821478835119619</v>
      </c>
    </row>
    <row r="77" spans="1:11" x14ac:dyDescent="0.2">
      <c r="A77" t="s">
        <v>85</v>
      </c>
      <c r="B77" s="7">
        <v>45149</v>
      </c>
      <c r="C77" t="s">
        <v>211</v>
      </c>
      <c r="D77" t="s">
        <v>215</v>
      </c>
      <c r="E77" t="s">
        <v>219</v>
      </c>
      <c r="F77" t="s">
        <v>228</v>
      </c>
      <c r="G77" s="5">
        <v>306.58</v>
      </c>
      <c r="H77">
        <v>9</v>
      </c>
      <c r="I77">
        <v>0.15</v>
      </c>
      <c r="J77" s="5">
        <v>4.97</v>
      </c>
      <c r="K77" s="9">
        <f>Table1[[#This Row],[Profit]]/Table1[[#This Row],[Sales]]%</f>
        <v>1.6211103137843303</v>
      </c>
    </row>
    <row r="78" spans="1:11" x14ac:dyDescent="0.2">
      <c r="A78" t="s">
        <v>86</v>
      </c>
      <c r="B78" s="7">
        <v>45230</v>
      </c>
      <c r="C78" t="s">
        <v>212</v>
      </c>
      <c r="D78" t="s">
        <v>216</v>
      </c>
      <c r="E78" t="s">
        <v>225</v>
      </c>
      <c r="F78" t="s">
        <v>227</v>
      </c>
      <c r="G78" s="5">
        <v>314.98</v>
      </c>
      <c r="H78">
        <v>8</v>
      </c>
      <c r="I78">
        <v>0.05</v>
      </c>
      <c r="J78" s="5">
        <v>59.1</v>
      </c>
      <c r="K78" s="9">
        <f>Table1[[#This Row],[Profit]]/Table1[[#This Row],[Sales]]%</f>
        <v>18.763096069591718</v>
      </c>
    </row>
    <row r="79" spans="1:11" x14ac:dyDescent="0.2">
      <c r="A79" t="s">
        <v>87</v>
      </c>
      <c r="B79" s="7">
        <v>45218</v>
      </c>
      <c r="C79" t="s">
        <v>213</v>
      </c>
      <c r="D79" t="s">
        <v>216</v>
      </c>
      <c r="E79" t="s">
        <v>225</v>
      </c>
      <c r="F79" t="s">
        <v>226</v>
      </c>
      <c r="G79" s="5">
        <v>858.41</v>
      </c>
      <c r="H79">
        <v>3</v>
      </c>
      <c r="I79">
        <v>0.15</v>
      </c>
      <c r="J79" s="5">
        <v>-40.32</v>
      </c>
      <c r="K79" s="9">
        <f>Table1[[#This Row],[Profit]]/Table1[[#This Row],[Sales]]%</f>
        <v>-4.6970561852727721</v>
      </c>
    </row>
    <row r="80" spans="1:11" x14ac:dyDescent="0.2">
      <c r="A80" t="s">
        <v>88</v>
      </c>
      <c r="B80" s="7">
        <v>45059</v>
      </c>
      <c r="C80" t="s">
        <v>212</v>
      </c>
      <c r="D80" t="s">
        <v>216</v>
      </c>
      <c r="E80" t="s">
        <v>224</v>
      </c>
      <c r="F80" t="s">
        <v>228</v>
      </c>
      <c r="G80" s="5">
        <v>886.1</v>
      </c>
      <c r="H80">
        <v>9</v>
      </c>
      <c r="I80">
        <v>0</v>
      </c>
      <c r="J80" s="5">
        <v>158.75</v>
      </c>
      <c r="K80" s="9">
        <f>Table1[[#This Row],[Profit]]/Table1[[#This Row],[Sales]]%</f>
        <v>17.915585148403114</v>
      </c>
    </row>
    <row r="81" spans="1:11" x14ac:dyDescent="0.2">
      <c r="A81" t="s">
        <v>89</v>
      </c>
      <c r="B81" s="7">
        <v>45024</v>
      </c>
      <c r="C81" t="s">
        <v>210</v>
      </c>
      <c r="D81" t="s">
        <v>214</v>
      </c>
      <c r="E81" t="s">
        <v>217</v>
      </c>
      <c r="F81" t="s">
        <v>226</v>
      </c>
      <c r="G81" s="5">
        <v>514.15</v>
      </c>
      <c r="H81">
        <v>4</v>
      </c>
      <c r="I81">
        <v>0.15</v>
      </c>
      <c r="J81" s="5">
        <v>31.61</v>
      </c>
      <c r="K81" s="9">
        <f>Table1[[#This Row],[Profit]]/Table1[[#This Row],[Sales]]%</f>
        <v>6.1480112807546439</v>
      </c>
    </row>
    <row r="82" spans="1:11" x14ac:dyDescent="0.2">
      <c r="A82" t="s">
        <v>90</v>
      </c>
      <c r="B82" s="7">
        <v>45178</v>
      </c>
      <c r="C82" t="s">
        <v>213</v>
      </c>
      <c r="D82" t="s">
        <v>214</v>
      </c>
      <c r="E82" t="s">
        <v>223</v>
      </c>
      <c r="F82" t="s">
        <v>226</v>
      </c>
      <c r="G82" s="5">
        <v>260.52</v>
      </c>
      <c r="H82">
        <v>4</v>
      </c>
      <c r="I82">
        <v>0.1</v>
      </c>
      <c r="J82" s="5">
        <v>30.22</v>
      </c>
      <c r="K82" s="9">
        <f>Table1[[#This Row],[Profit]]/Table1[[#This Row],[Sales]]%</f>
        <v>11.599877168739443</v>
      </c>
    </row>
    <row r="83" spans="1:11" x14ac:dyDescent="0.2">
      <c r="A83" t="s">
        <v>91</v>
      </c>
      <c r="B83" s="7">
        <v>45115</v>
      </c>
      <c r="C83" t="s">
        <v>213</v>
      </c>
      <c r="D83" t="s">
        <v>215</v>
      </c>
      <c r="E83" t="s">
        <v>219</v>
      </c>
      <c r="F83" t="s">
        <v>226</v>
      </c>
      <c r="G83" s="5">
        <v>454.23</v>
      </c>
      <c r="H83">
        <v>9</v>
      </c>
      <c r="I83">
        <v>0.1</v>
      </c>
      <c r="J83" s="5">
        <v>17.239999999999998</v>
      </c>
      <c r="K83" s="9">
        <f>Table1[[#This Row],[Profit]]/Table1[[#This Row],[Sales]]%</f>
        <v>3.7954340312176646</v>
      </c>
    </row>
    <row r="84" spans="1:11" x14ac:dyDescent="0.2">
      <c r="A84" t="s">
        <v>92</v>
      </c>
      <c r="B84" s="7">
        <v>45159</v>
      </c>
      <c r="C84" t="s">
        <v>212</v>
      </c>
      <c r="D84" t="s">
        <v>216</v>
      </c>
      <c r="E84" t="s">
        <v>220</v>
      </c>
      <c r="F84" t="s">
        <v>227</v>
      </c>
      <c r="G84" s="5">
        <v>164.62</v>
      </c>
      <c r="H84">
        <v>4</v>
      </c>
      <c r="I84">
        <v>0.1</v>
      </c>
      <c r="J84" s="5">
        <v>-3.31</v>
      </c>
      <c r="K84" s="9">
        <f>Table1[[#This Row],[Profit]]/Table1[[#This Row],[Sales]]%</f>
        <v>-2.0106912890292796</v>
      </c>
    </row>
    <row r="85" spans="1:11" x14ac:dyDescent="0.2">
      <c r="A85" t="s">
        <v>93</v>
      </c>
      <c r="B85" s="7">
        <v>45201</v>
      </c>
      <c r="C85" t="s">
        <v>211</v>
      </c>
      <c r="D85" t="s">
        <v>214</v>
      </c>
      <c r="E85" t="s">
        <v>223</v>
      </c>
      <c r="F85" t="s">
        <v>228</v>
      </c>
      <c r="G85" s="5">
        <v>509.99</v>
      </c>
      <c r="H85">
        <v>10</v>
      </c>
      <c r="I85">
        <v>0.2</v>
      </c>
      <c r="J85" s="5">
        <v>-0.41</v>
      </c>
      <c r="K85" s="9">
        <f>Table1[[#This Row],[Profit]]/Table1[[#This Row],[Sales]]%</f>
        <v>-8.0393733210455107E-2</v>
      </c>
    </row>
    <row r="86" spans="1:11" x14ac:dyDescent="0.2">
      <c r="A86" t="s">
        <v>94</v>
      </c>
      <c r="B86" s="7">
        <v>44978</v>
      </c>
      <c r="C86" t="s">
        <v>211</v>
      </c>
      <c r="D86" t="s">
        <v>216</v>
      </c>
      <c r="E86" t="s">
        <v>225</v>
      </c>
      <c r="F86" t="s">
        <v>226</v>
      </c>
      <c r="G86" s="5">
        <v>220.47</v>
      </c>
      <c r="H86">
        <v>1</v>
      </c>
      <c r="I86">
        <v>0.2</v>
      </c>
      <c r="J86" s="5">
        <v>-26.09</v>
      </c>
      <c r="K86" s="9">
        <f>Table1[[#This Row],[Profit]]/Table1[[#This Row],[Sales]]%</f>
        <v>-11.83380958860616</v>
      </c>
    </row>
    <row r="87" spans="1:11" x14ac:dyDescent="0.2">
      <c r="A87" t="s">
        <v>95</v>
      </c>
      <c r="B87" s="7">
        <v>44950</v>
      </c>
      <c r="C87" t="s">
        <v>210</v>
      </c>
      <c r="D87" t="s">
        <v>215</v>
      </c>
      <c r="E87" t="s">
        <v>218</v>
      </c>
      <c r="F87" t="s">
        <v>228</v>
      </c>
      <c r="G87" s="5">
        <v>946.89</v>
      </c>
      <c r="H87">
        <v>8</v>
      </c>
      <c r="I87">
        <v>0</v>
      </c>
      <c r="J87" s="5">
        <v>253.94</v>
      </c>
      <c r="K87" s="9">
        <f>Table1[[#This Row],[Profit]]/Table1[[#This Row],[Sales]]%</f>
        <v>26.818321029897877</v>
      </c>
    </row>
    <row r="88" spans="1:11" x14ac:dyDescent="0.2">
      <c r="A88" t="s">
        <v>96</v>
      </c>
      <c r="B88" s="7">
        <v>45220</v>
      </c>
      <c r="C88" t="s">
        <v>212</v>
      </c>
      <c r="D88" t="s">
        <v>216</v>
      </c>
      <c r="E88" t="s">
        <v>220</v>
      </c>
      <c r="F88" t="s">
        <v>226</v>
      </c>
      <c r="G88" s="5">
        <v>373.67</v>
      </c>
      <c r="H88">
        <v>1</v>
      </c>
      <c r="I88">
        <v>0.1</v>
      </c>
      <c r="J88" s="5">
        <v>69.23</v>
      </c>
      <c r="K88" s="9">
        <f>Table1[[#This Row],[Profit]]/Table1[[#This Row],[Sales]]%</f>
        <v>18.527042577675488</v>
      </c>
    </row>
    <row r="89" spans="1:11" x14ac:dyDescent="0.2">
      <c r="A89" t="s">
        <v>97</v>
      </c>
      <c r="B89" s="7">
        <v>45171</v>
      </c>
      <c r="C89" t="s">
        <v>210</v>
      </c>
      <c r="D89" t="s">
        <v>214</v>
      </c>
      <c r="E89" t="s">
        <v>222</v>
      </c>
      <c r="F89" t="s">
        <v>226</v>
      </c>
      <c r="G89" s="5">
        <v>120.38</v>
      </c>
      <c r="H89">
        <v>1</v>
      </c>
      <c r="I89">
        <v>0.05</v>
      </c>
      <c r="J89" s="5">
        <v>4.49</v>
      </c>
      <c r="K89" s="9">
        <f>Table1[[#This Row],[Profit]]/Table1[[#This Row],[Sales]]%</f>
        <v>3.7298554577172292</v>
      </c>
    </row>
    <row r="90" spans="1:11" x14ac:dyDescent="0.2">
      <c r="A90" t="s">
        <v>98</v>
      </c>
      <c r="B90" s="7">
        <v>45215</v>
      </c>
      <c r="C90" t="s">
        <v>212</v>
      </c>
      <c r="D90" t="s">
        <v>214</v>
      </c>
      <c r="E90" t="s">
        <v>223</v>
      </c>
      <c r="F90" t="s">
        <v>227</v>
      </c>
      <c r="G90" s="5">
        <v>580.16999999999996</v>
      </c>
      <c r="H90">
        <v>7</v>
      </c>
      <c r="I90">
        <v>0.2</v>
      </c>
      <c r="J90" s="5">
        <v>-0.56000000000000005</v>
      </c>
      <c r="K90" s="9">
        <f>Table1[[#This Row],[Profit]]/Table1[[#This Row],[Sales]]%</f>
        <v>-9.6523432786941782E-2</v>
      </c>
    </row>
    <row r="91" spans="1:11" x14ac:dyDescent="0.2">
      <c r="A91" t="s">
        <v>99</v>
      </c>
      <c r="B91" s="7">
        <v>45243</v>
      </c>
      <c r="C91" t="s">
        <v>211</v>
      </c>
      <c r="D91" t="s">
        <v>215</v>
      </c>
      <c r="E91" t="s">
        <v>218</v>
      </c>
      <c r="F91" t="s">
        <v>226</v>
      </c>
      <c r="G91" s="5">
        <v>913.08</v>
      </c>
      <c r="H91">
        <v>5</v>
      </c>
      <c r="I91">
        <v>0.2</v>
      </c>
      <c r="J91" s="5">
        <v>89.03</v>
      </c>
      <c r="K91" s="9">
        <f>Table1[[#This Row],[Profit]]/Table1[[#This Row],[Sales]]%</f>
        <v>9.7505147413151079</v>
      </c>
    </row>
    <row r="92" spans="1:11" x14ac:dyDescent="0.2">
      <c r="A92" t="s">
        <v>100</v>
      </c>
      <c r="B92" s="7">
        <v>45083</v>
      </c>
      <c r="C92" t="s">
        <v>210</v>
      </c>
      <c r="D92" t="s">
        <v>215</v>
      </c>
      <c r="E92" t="s">
        <v>219</v>
      </c>
      <c r="F92" t="s">
        <v>227</v>
      </c>
      <c r="G92" s="5">
        <v>950.21</v>
      </c>
      <c r="H92">
        <v>4</v>
      </c>
      <c r="I92">
        <v>0.05</v>
      </c>
      <c r="J92" s="5">
        <v>62.87</v>
      </c>
      <c r="K92" s="9">
        <f>Table1[[#This Row],[Profit]]/Table1[[#This Row],[Sales]]%</f>
        <v>6.6164321571021141</v>
      </c>
    </row>
    <row r="93" spans="1:11" x14ac:dyDescent="0.2">
      <c r="A93" t="s">
        <v>101</v>
      </c>
      <c r="B93" s="7">
        <v>44968</v>
      </c>
      <c r="C93" t="s">
        <v>211</v>
      </c>
      <c r="D93" t="s">
        <v>214</v>
      </c>
      <c r="E93" t="s">
        <v>223</v>
      </c>
      <c r="F93" t="s">
        <v>228</v>
      </c>
      <c r="G93" s="5">
        <v>121.31</v>
      </c>
      <c r="H93">
        <v>1</v>
      </c>
      <c r="I93">
        <v>0.15</v>
      </c>
      <c r="J93" s="5">
        <v>1.53</v>
      </c>
      <c r="K93" s="9">
        <f>Table1[[#This Row],[Profit]]/Table1[[#This Row],[Sales]]%</f>
        <v>1.2612315555189184</v>
      </c>
    </row>
    <row r="94" spans="1:11" x14ac:dyDescent="0.2">
      <c r="A94" t="s">
        <v>102</v>
      </c>
      <c r="B94" s="7">
        <v>45231</v>
      </c>
      <c r="C94" t="s">
        <v>213</v>
      </c>
      <c r="D94" t="s">
        <v>216</v>
      </c>
      <c r="E94" t="s">
        <v>225</v>
      </c>
      <c r="F94" t="s">
        <v>227</v>
      </c>
      <c r="G94" s="5">
        <v>323.7</v>
      </c>
      <c r="H94">
        <v>5</v>
      </c>
      <c r="I94">
        <v>0.15</v>
      </c>
      <c r="J94" s="5">
        <v>-26.61</v>
      </c>
      <c r="K94" s="9">
        <f>Table1[[#This Row],[Profit]]/Table1[[#This Row],[Sales]]%</f>
        <v>-8.2205746061167737</v>
      </c>
    </row>
    <row r="95" spans="1:11" x14ac:dyDescent="0.2">
      <c r="A95" t="s">
        <v>103</v>
      </c>
      <c r="B95" s="7">
        <v>45046</v>
      </c>
      <c r="C95" t="s">
        <v>212</v>
      </c>
      <c r="D95" t="s">
        <v>215</v>
      </c>
      <c r="E95" t="s">
        <v>219</v>
      </c>
      <c r="F95" t="s">
        <v>228</v>
      </c>
      <c r="G95" s="5">
        <v>813.71</v>
      </c>
      <c r="H95">
        <v>4</v>
      </c>
      <c r="I95">
        <v>0.15</v>
      </c>
      <c r="J95" s="5">
        <v>-58.02</v>
      </c>
      <c r="K95" s="9">
        <f>Table1[[#This Row],[Profit]]/Table1[[#This Row],[Sales]]%</f>
        <v>-7.1303044082043971</v>
      </c>
    </row>
    <row r="96" spans="1:11" x14ac:dyDescent="0.2">
      <c r="A96" t="s">
        <v>104</v>
      </c>
      <c r="B96" s="7">
        <v>45042</v>
      </c>
      <c r="C96" t="s">
        <v>211</v>
      </c>
      <c r="D96" t="s">
        <v>216</v>
      </c>
      <c r="E96" t="s">
        <v>225</v>
      </c>
      <c r="F96" t="s">
        <v>227</v>
      </c>
      <c r="G96" s="5">
        <v>106.66</v>
      </c>
      <c r="H96">
        <v>5</v>
      </c>
      <c r="I96">
        <v>0.2</v>
      </c>
      <c r="J96" s="5">
        <v>3.97</v>
      </c>
      <c r="K96" s="9">
        <f>Table1[[#This Row],[Profit]]/Table1[[#This Row],[Sales]]%</f>
        <v>3.722107631726983</v>
      </c>
    </row>
    <row r="97" spans="1:11" x14ac:dyDescent="0.2">
      <c r="A97" t="s">
        <v>105</v>
      </c>
      <c r="B97" s="7">
        <v>45218</v>
      </c>
      <c r="C97" t="s">
        <v>212</v>
      </c>
      <c r="D97" t="s">
        <v>216</v>
      </c>
      <c r="E97" t="s">
        <v>225</v>
      </c>
      <c r="F97" t="s">
        <v>226</v>
      </c>
      <c r="G97" s="5">
        <v>704.24</v>
      </c>
      <c r="H97">
        <v>7</v>
      </c>
      <c r="I97">
        <v>0.1</v>
      </c>
      <c r="J97" s="5">
        <v>52.9</v>
      </c>
      <c r="K97" s="9">
        <f>Table1[[#This Row],[Profit]]/Table1[[#This Row],[Sales]]%</f>
        <v>7.5116437578098374</v>
      </c>
    </row>
    <row r="98" spans="1:11" x14ac:dyDescent="0.2">
      <c r="A98" t="s">
        <v>106</v>
      </c>
      <c r="B98" s="7">
        <v>45179</v>
      </c>
      <c r="C98" t="s">
        <v>213</v>
      </c>
      <c r="D98" t="s">
        <v>214</v>
      </c>
      <c r="E98" t="s">
        <v>217</v>
      </c>
      <c r="F98" t="s">
        <v>227</v>
      </c>
      <c r="G98" s="5">
        <v>894.95</v>
      </c>
      <c r="H98">
        <v>6</v>
      </c>
      <c r="I98">
        <v>0.2</v>
      </c>
      <c r="J98" s="5">
        <v>-78.23</v>
      </c>
      <c r="K98" s="9">
        <f>Table1[[#This Row],[Profit]]/Table1[[#This Row],[Sales]]%</f>
        <v>-8.7412704620369848</v>
      </c>
    </row>
    <row r="99" spans="1:11" x14ac:dyDescent="0.2">
      <c r="A99" t="s">
        <v>107</v>
      </c>
      <c r="B99" s="7">
        <v>44973</v>
      </c>
      <c r="C99" t="s">
        <v>211</v>
      </c>
      <c r="D99" t="s">
        <v>215</v>
      </c>
      <c r="E99" t="s">
        <v>219</v>
      </c>
      <c r="F99" t="s">
        <v>228</v>
      </c>
      <c r="G99" s="5">
        <v>953.25</v>
      </c>
      <c r="H99">
        <v>5</v>
      </c>
      <c r="I99">
        <v>0.2</v>
      </c>
      <c r="J99" s="5">
        <v>-133.4</v>
      </c>
      <c r="K99" s="9">
        <f>Table1[[#This Row],[Profit]]/Table1[[#This Row],[Sales]]%</f>
        <v>-13.994230264883294</v>
      </c>
    </row>
    <row r="100" spans="1:11" x14ac:dyDescent="0.2">
      <c r="A100" t="s">
        <v>108</v>
      </c>
      <c r="B100" s="7">
        <v>45016</v>
      </c>
      <c r="C100" t="s">
        <v>213</v>
      </c>
      <c r="D100" t="s">
        <v>215</v>
      </c>
      <c r="E100" t="s">
        <v>219</v>
      </c>
      <c r="F100" t="s">
        <v>226</v>
      </c>
      <c r="G100" s="5">
        <v>920.27</v>
      </c>
      <c r="H100">
        <v>3</v>
      </c>
      <c r="I100">
        <v>0.2</v>
      </c>
      <c r="J100" s="5">
        <v>-37.76</v>
      </c>
      <c r="K100" s="9">
        <f>Table1[[#This Row],[Profit]]/Table1[[#This Row],[Sales]]%</f>
        <v>-4.1031436426266206</v>
      </c>
    </row>
    <row r="101" spans="1:11" x14ac:dyDescent="0.2">
      <c r="A101" t="s">
        <v>109</v>
      </c>
      <c r="B101" s="7">
        <v>45178</v>
      </c>
      <c r="C101" t="s">
        <v>210</v>
      </c>
      <c r="D101" t="s">
        <v>216</v>
      </c>
      <c r="E101" t="s">
        <v>220</v>
      </c>
      <c r="F101" t="s">
        <v>226</v>
      </c>
      <c r="G101" s="5">
        <v>366.64</v>
      </c>
      <c r="H101">
        <v>2</v>
      </c>
      <c r="I101">
        <v>0.05</v>
      </c>
      <c r="J101" s="5">
        <v>30.23</v>
      </c>
      <c r="K101" s="9">
        <f>Table1[[#This Row],[Profit]]/Table1[[#This Row],[Sales]]%</f>
        <v>8.2451451014619241</v>
      </c>
    </row>
    <row r="102" spans="1:11" x14ac:dyDescent="0.2">
      <c r="A102" t="s">
        <v>110</v>
      </c>
      <c r="B102" s="7">
        <v>45282</v>
      </c>
      <c r="C102" t="s">
        <v>213</v>
      </c>
      <c r="D102" t="s">
        <v>216</v>
      </c>
      <c r="E102" t="s">
        <v>224</v>
      </c>
      <c r="F102" t="s">
        <v>226</v>
      </c>
      <c r="G102" s="5">
        <v>822.89</v>
      </c>
      <c r="H102">
        <v>9</v>
      </c>
      <c r="I102">
        <v>0</v>
      </c>
      <c r="J102" s="5">
        <v>134.71</v>
      </c>
      <c r="K102" s="9">
        <f>Table1[[#This Row],[Profit]]/Table1[[#This Row],[Sales]]%</f>
        <v>16.370353267143848</v>
      </c>
    </row>
    <row r="103" spans="1:11" x14ac:dyDescent="0.2">
      <c r="A103" t="s">
        <v>111</v>
      </c>
      <c r="B103" s="7">
        <v>45088</v>
      </c>
      <c r="C103" t="s">
        <v>212</v>
      </c>
      <c r="D103" t="s">
        <v>216</v>
      </c>
      <c r="E103" t="s">
        <v>225</v>
      </c>
      <c r="F103" t="s">
        <v>226</v>
      </c>
      <c r="G103" s="5">
        <v>871.67</v>
      </c>
      <c r="H103">
        <v>1</v>
      </c>
      <c r="I103">
        <v>0.2</v>
      </c>
      <c r="J103" s="5">
        <v>-30.08</v>
      </c>
      <c r="K103" s="9">
        <f>Table1[[#This Row],[Profit]]/Table1[[#This Row],[Sales]]%</f>
        <v>-3.4508472242935975</v>
      </c>
    </row>
    <row r="104" spans="1:11" x14ac:dyDescent="0.2">
      <c r="A104" t="s">
        <v>112</v>
      </c>
      <c r="B104" s="7">
        <v>44954</v>
      </c>
      <c r="C104" t="s">
        <v>211</v>
      </c>
      <c r="D104" t="s">
        <v>215</v>
      </c>
      <c r="E104" t="s">
        <v>218</v>
      </c>
      <c r="F104" t="s">
        <v>228</v>
      </c>
      <c r="G104" s="5">
        <v>768.62</v>
      </c>
      <c r="H104">
        <v>8</v>
      </c>
      <c r="I104">
        <v>0</v>
      </c>
      <c r="J104" s="5">
        <v>77.55</v>
      </c>
      <c r="K104" s="9">
        <f>Table1[[#This Row],[Profit]]/Table1[[#This Row],[Sales]]%</f>
        <v>10.089511071791001</v>
      </c>
    </row>
    <row r="105" spans="1:11" x14ac:dyDescent="0.2">
      <c r="A105" t="s">
        <v>113</v>
      </c>
      <c r="B105" s="7">
        <v>45208</v>
      </c>
      <c r="C105" t="s">
        <v>211</v>
      </c>
      <c r="D105" t="s">
        <v>216</v>
      </c>
      <c r="E105" t="s">
        <v>220</v>
      </c>
      <c r="F105" t="s">
        <v>228</v>
      </c>
      <c r="G105" s="5">
        <v>510.48</v>
      </c>
      <c r="H105">
        <v>1</v>
      </c>
      <c r="I105">
        <v>0.2</v>
      </c>
      <c r="J105" s="5">
        <v>25.44</v>
      </c>
      <c r="K105" s="9">
        <f>Table1[[#This Row],[Profit]]/Table1[[#This Row],[Sales]]%</f>
        <v>4.983544898918665</v>
      </c>
    </row>
    <row r="106" spans="1:11" x14ac:dyDescent="0.2">
      <c r="A106" t="s">
        <v>114</v>
      </c>
      <c r="B106" s="7">
        <v>45290</v>
      </c>
      <c r="C106" t="s">
        <v>211</v>
      </c>
      <c r="D106" t="s">
        <v>216</v>
      </c>
      <c r="E106" t="s">
        <v>224</v>
      </c>
      <c r="F106" t="s">
        <v>227</v>
      </c>
      <c r="G106" s="5">
        <v>574.64</v>
      </c>
      <c r="H106">
        <v>2</v>
      </c>
      <c r="I106">
        <v>0.05</v>
      </c>
      <c r="J106" s="5">
        <v>142.55000000000001</v>
      </c>
      <c r="K106" s="9">
        <f>Table1[[#This Row],[Profit]]/Table1[[#This Row],[Sales]]%</f>
        <v>24.806835584017826</v>
      </c>
    </row>
    <row r="107" spans="1:11" x14ac:dyDescent="0.2">
      <c r="A107" t="s">
        <v>115</v>
      </c>
      <c r="B107" s="7">
        <v>44985</v>
      </c>
      <c r="C107" t="s">
        <v>213</v>
      </c>
      <c r="D107" t="s">
        <v>214</v>
      </c>
      <c r="E107" t="s">
        <v>217</v>
      </c>
      <c r="F107" t="s">
        <v>227</v>
      </c>
      <c r="G107" s="5">
        <v>523.46</v>
      </c>
      <c r="H107">
        <v>5</v>
      </c>
      <c r="I107">
        <v>0.2</v>
      </c>
      <c r="J107" s="5">
        <v>13.79</v>
      </c>
      <c r="K107" s="9">
        <f>Table1[[#This Row],[Profit]]/Table1[[#This Row],[Sales]]%</f>
        <v>2.6343942230542923</v>
      </c>
    </row>
    <row r="108" spans="1:11" x14ac:dyDescent="0.2">
      <c r="A108" t="s">
        <v>116</v>
      </c>
      <c r="B108" s="7">
        <v>45139</v>
      </c>
      <c r="C108" t="s">
        <v>213</v>
      </c>
      <c r="D108" t="s">
        <v>216</v>
      </c>
      <c r="E108" t="s">
        <v>225</v>
      </c>
      <c r="F108" t="s">
        <v>226</v>
      </c>
      <c r="G108" s="5">
        <v>573.70000000000005</v>
      </c>
      <c r="H108">
        <v>7</v>
      </c>
      <c r="I108">
        <v>0.05</v>
      </c>
      <c r="J108" s="5">
        <v>132.22</v>
      </c>
      <c r="K108" s="9">
        <f>Table1[[#This Row],[Profit]]/Table1[[#This Row],[Sales]]%</f>
        <v>23.046888617744465</v>
      </c>
    </row>
    <row r="109" spans="1:11" x14ac:dyDescent="0.2">
      <c r="A109" t="s">
        <v>117</v>
      </c>
      <c r="B109" s="7">
        <v>45187</v>
      </c>
      <c r="C109" t="s">
        <v>211</v>
      </c>
      <c r="D109" t="s">
        <v>214</v>
      </c>
      <c r="E109" t="s">
        <v>222</v>
      </c>
      <c r="F109" t="s">
        <v>226</v>
      </c>
      <c r="G109" s="5">
        <v>372.88</v>
      </c>
      <c r="H109">
        <v>9</v>
      </c>
      <c r="I109">
        <v>0.1</v>
      </c>
      <c r="J109" s="5">
        <v>57.85</v>
      </c>
      <c r="K109" s="9">
        <f>Table1[[#This Row],[Profit]]/Table1[[#This Row],[Sales]]%</f>
        <v>15.51437459772581</v>
      </c>
    </row>
    <row r="110" spans="1:11" x14ac:dyDescent="0.2">
      <c r="A110" t="s">
        <v>118</v>
      </c>
      <c r="B110" s="7">
        <v>45071</v>
      </c>
      <c r="C110" t="s">
        <v>212</v>
      </c>
      <c r="D110" t="s">
        <v>215</v>
      </c>
      <c r="E110" t="s">
        <v>219</v>
      </c>
      <c r="F110" t="s">
        <v>228</v>
      </c>
      <c r="G110" s="5">
        <v>515.16</v>
      </c>
      <c r="H110">
        <v>3</v>
      </c>
      <c r="I110">
        <v>0.15</v>
      </c>
      <c r="J110" s="5">
        <v>17.850000000000001</v>
      </c>
      <c r="K110" s="9">
        <f>Table1[[#This Row],[Profit]]/Table1[[#This Row],[Sales]]%</f>
        <v>3.4649429303517363</v>
      </c>
    </row>
    <row r="111" spans="1:11" x14ac:dyDescent="0.2">
      <c r="A111" t="s">
        <v>119</v>
      </c>
      <c r="B111" s="7">
        <v>45103</v>
      </c>
      <c r="C111" t="s">
        <v>212</v>
      </c>
      <c r="D111" t="s">
        <v>215</v>
      </c>
      <c r="E111" t="s">
        <v>219</v>
      </c>
      <c r="F111" t="s">
        <v>226</v>
      </c>
      <c r="G111" s="5">
        <v>482.58</v>
      </c>
      <c r="H111">
        <v>6</v>
      </c>
      <c r="I111">
        <v>0.05</v>
      </c>
      <c r="J111" s="5">
        <v>118.33</v>
      </c>
      <c r="K111" s="9">
        <f>Table1[[#This Row],[Profit]]/Table1[[#This Row],[Sales]]%</f>
        <v>24.52028679182726</v>
      </c>
    </row>
    <row r="112" spans="1:11" x14ac:dyDescent="0.2">
      <c r="A112" t="s">
        <v>120</v>
      </c>
      <c r="B112" s="7">
        <v>45049</v>
      </c>
      <c r="C112" t="s">
        <v>213</v>
      </c>
      <c r="D112" t="s">
        <v>214</v>
      </c>
      <c r="E112" t="s">
        <v>222</v>
      </c>
      <c r="F112" t="s">
        <v>227</v>
      </c>
      <c r="G112" s="5">
        <v>352.27</v>
      </c>
      <c r="H112">
        <v>8</v>
      </c>
      <c r="I112">
        <v>0.15</v>
      </c>
      <c r="J112" s="5">
        <v>-1.23</v>
      </c>
      <c r="K112" s="9">
        <f>Table1[[#This Row],[Profit]]/Table1[[#This Row],[Sales]]%</f>
        <v>-0.34916399352769184</v>
      </c>
    </row>
    <row r="113" spans="1:11" x14ac:dyDescent="0.2">
      <c r="A113" t="s">
        <v>121</v>
      </c>
      <c r="B113" s="7">
        <v>45266</v>
      </c>
      <c r="C113" t="s">
        <v>211</v>
      </c>
      <c r="D113" t="s">
        <v>216</v>
      </c>
      <c r="E113" t="s">
        <v>225</v>
      </c>
      <c r="F113" t="s">
        <v>227</v>
      </c>
      <c r="G113" s="5">
        <v>527.17999999999995</v>
      </c>
      <c r="H113">
        <v>10</v>
      </c>
      <c r="I113">
        <v>0.1</v>
      </c>
      <c r="J113" s="5">
        <v>88.26</v>
      </c>
      <c r="K113" s="9">
        <f>Table1[[#This Row],[Profit]]/Table1[[#This Row],[Sales]]%</f>
        <v>16.741909784134453</v>
      </c>
    </row>
    <row r="114" spans="1:11" x14ac:dyDescent="0.2">
      <c r="A114" t="s">
        <v>122</v>
      </c>
      <c r="B114" s="7">
        <v>45152</v>
      </c>
      <c r="C114" t="s">
        <v>210</v>
      </c>
      <c r="D114" t="s">
        <v>215</v>
      </c>
      <c r="E114" t="s">
        <v>218</v>
      </c>
      <c r="F114" t="s">
        <v>227</v>
      </c>
      <c r="G114" s="5">
        <v>736.32</v>
      </c>
      <c r="H114">
        <v>7</v>
      </c>
      <c r="I114">
        <v>0.05</v>
      </c>
      <c r="J114" s="5">
        <v>13.77</v>
      </c>
      <c r="K114" s="9">
        <f>Table1[[#This Row],[Profit]]/Table1[[#This Row],[Sales]]%</f>
        <v>1.8701108213820075</v>
      </c>
    </row>
    <row r="115" spans="1:11" x14ac:dyDescent="0.2">
      <c r="A115" t="s">
        <v>123</v>
      </c>
      <c r="B115" s="7">
        <v>45062</v>
      </c>
      <c r="C115" t="s">
        <v>212</v>
      </c>
      <c r="D115" t="s">
        <v>215</v>
      </c>
      <c r="E115" t="s">
        <v>219</v>
      </c>
      <c r="F115" t="s">
        <v>226</v>
      </c>
      <c r="G115" s="5">
        <v>667.34</v>
      </c>
      <c r="H115">
        <v>6</v>
      </c>
      <c r="I115">
        <v>0.2</v>
      </c>
      <c r="J115" s="5">
        <v>-36.700000000000003</v>
      </c>
      <c r="K115" s="9">
        <f>Table1[[#This Row],[Profit]]/Table1[[#This Row],[Sales]]%</f>
        <v>-5.4994455599844159</v>
      </c>
    </row>
    <row r="116" spans="1:11" x14ac:dyDescent="0.2">
      <c r="A116" t="s">
        <v>124</v>
      </c>
      <c r="B116" s="7">
        <v>45089</v>
      </c>
      <c r="C116" t="s">
        <v>213</v>
      </c>
      <c r="D116" t="s">
        <v>215</v>
      </c>
      <c r="E116" t="s">
        <v>221</v>
      </c>
      <c r="F116" t="s">
        <v>228</v>
      </c>
      <c r="G116" s="5">
        <v>115</v>
      </c>
      <c r="H116">
        <v>5</v>
      </c>
      <c r="I116">
        <v>0.05</v>
      </c>
      <c r="J116" s="5">
        <v>21.47</v>
      </c>
      <c r="K116" s="9">
        <f>Table1[[#This Row],[Profit]]/Table1[[#This Row],[Sales]]%</f>
        <v>18.669565217391305</v>
      </c>
    </row>
    <row r="117" spans="1:11" x14ac:dyDescent="0.2">
      <c r="A117" t="s">
        <v>125</v>
      </c>
      <c r="B117" s="7">
        <v>45149</v>
      </c>
      <c r="C117" t="s">
        <v>210</v>
      </c>
      <c r="D117" t="s">
        <v>215</v>
      </c>
      <c r="E117" t="s">
        <v>219</v>
      </c>
      <c r="F117" t="s">
        <v>227</v>
      </c>
      <c r="G117" s="5">
        <v>471.49</v>
      </c>
      <c r="H117">
        <v>5</v>
      </c>
      <c r="I117">
        <v>0</v>
      </c>
      <c r="J117" s="5">
        <v>29</v>
      </c>
      <c r="K117" s="9">
        <f>Table1[[#This Row],[Profit]]/Table1[[#This Row],[Sales]]%</f>
        <v>6.1507136948821817</v>
      </c>
    </row>
    <row r="118" spans="1:11" x14ac:dyDescent="0.2">
      <c r="A118" t="s">
        <v>126</v>
      </c>
      <c r="B118" s="7">
        <v>44955</v>
      </c>
      <c r="C118" t="s">
        <v>212</v>
      </c>
      <c r="D118" t="s">
        <v>216</v>
      </c>
      <c r="E118" t="s">
        <v>220</v>
      </c>
      <c r="F118" t="s">
        <v>226</v>
      </c>
      <c r="G118" s="5">
        <v>188.29</v>
      </c>
      <c r="H118">
        <v>9</v>
      </c>
      <c r="I118">
        <v>0.15</v>
      </c>
      <c r="J118" s="5">
        <v>7.81</v>
      </c>
      <c r="K118" s="9">
        <f>Table1[[#This Row],[Profit]]/Table1[[#This Row],[Sales]]%</f>
        <v>4.1478570290509316</v>
      </c>
    </row>
    <row r="119" spans="1:11" x14ac:dyDescent="0.2">
      <c r="A119" t="s">
        <v>127</v>
      </c>
      <c r="B119" s="7">
        <v>45019</v>
      </c>
      <c r="C119" t="s">
        <v>211</v>
      </c>
      <c r="D119" t="s">
        <v>214</v>
      </c>
      <c r="E119" t="s">
        <v>223</v>
      </c>
      <c r="F119" t="s">
        <v>228</v>
      </c>
      <c r="G119" s="5">
        <v>877.3</v>
      </c>
      <c r="H119">
        <v>10</v>
      </c>
      <c r="I119">
        <v>0.05</v>
      </c>
      <c r="J119" s="5">
        <v>109.15</v>
      </c>
      <c r="K119" s="9">
        <f>Table1[[#This Row],[Profit]]/Table1[[#This Row],[Sales]]%</f>
        <v>12.44158212698051</v>
      </c>
    </row>
    <row r="120" spans="1:11" x14ac:dyDescent="0.2">
      <c r="A120" t="s">
        <v>128</v>
      </c>
      <c r="B120" s="7">
        <v>45225</v>
      </c>
      <c r="C120" t="s">
        <v>211</v>
      </c>
      <c r="D120" t="s">
        <v>214</v>
      </c>
      <c r="E120" t="s">
        <v>222</v>
      </c>
      <c r="F120" t="s">
        <v>228</v>
      </c>
      <c r="G120" s="5">
        <v>291.27999999999997</v>
      </c>
      <c r="H120">
        <v>5</v>
      </c>
      <c r="I120">
        <v>0</v>
      </c>
      <c r="J120" s="5">
        <v>80.02</v>
      </c>
      <c r="K120" s="9">
        <f>Table1[[#This Row],[Profit]]/Table1[[#This Row],[Sales]]%</f>
        <v>27.471848393298544</v>
      </c>
    </row>
    <row r="121" spans="1:11" x14ac:dyDescent="0.2">
      <c r="A121" t="s">
        <v>129</v>
      </c>
      <c r="B121" s="7">
        <v>45165</v>
      </c>
      <c r="C121" t="s">
        <v>212</v>
      </c>
      <c r="D121" t="s">
        <v>215</v>
      </c>
      <c r="E121" t="s">
        <v>219</v>
      </c>
      <c r="F121" t="s">
        <v>227</v>
      </c>
      <c r="G121" s="5">
        <v>120.17</v>
      </c>
      <c r="H121">
        <v>6</v>
      </c>
      <c r="I121">
        <v>0.2</v>
      </c>
      <c r="J121" s="5">
        <v>-9.0399999999999991</v>
      </c>
      <c r="K121" s="9">
        <f>Table1[[#This Row],[Profit]]/Table1[[#This Row],[Sales]]%</f>
        <v>-7.5226762087043353</v>
      </c>
    </row>
    <row r="122" spans="1:11" x14ac:dyDescent="0.2">
      <c r="A122" t="s">
        <v>130</v>
      </c>
      <c r="B122" s="7">
        <v>45144</v>
      </c>
      <c r="C122" t="s">
        <v>212</v>
      </c>
      <c r="D122" t="s">
        <v>216</v>
      </c>
      <c r="E122" t="s">
        <v>220</v>
      </c>
      <c r="F122" t="s">
        <v>227</v>
      </c>
      <c r="G122" s="5">
        <v>999.4</v>
      </c>
      <c r="H122">
        <v>8</v>
      </c>
      <c r="I122">
        <v>0</v>
      </c>
      <c r="J122" s="5">
        <v>109.24</v>
      </c>
      <c r="K122" s="9">
        <f>Table1[[#This Row],[Profit]]/Table1[[#This Row],[Sales]]%</f>
        <v>10.930558335001001</v>
      </c>
    </row>
    <row r="123" spans="1:11" x14ac:dyDescent="0.2">
      <c r="A123" t="s">
        <v>131</v>
      </c>
      <c r="B123" s="7">
        <v>45219</v>
      </c>
      <c r="C123" t="s">
        <v>212</v>
      </c>
      <c r="D123" t="s">
        <v>215</v>
      </c>
      <c r="E123" t="s">
        <v>218</v>
      </c>
      <c r="F123" t="s">
        <v>228</v>
      </c>
      <c r="G123" s="5">
        <v>330.47</v>
      </c>
      <c r="H123">
        <v>7</v>
      </c>
      <c r="I123">
        <v>0.1</v>
      </c>
      <c r="J123" s="5">
        <v>-15.85</v>
      </c>
      <c r="K123" s="9">
        <f>Table1[[#This Row],[Profit]]/Table1[[#This Row],[Sales]]%</f>
        <v>-4.7961993524374371</v>
      </c>
    </row>
    <row r="124" spans="1:11" x14ac:dyDescent="0.2">
      <c r="A124" t="s">
        <v>132</v>
      </c>
      <c r="B124" s="7">
        <v>45278</v>
      </c>
      <c r="C124" t="s">
        <v>210</v>
      </c>
      <c r="D124" t="s">
        <v>215</v>
      </c>
      <c r="E124" t="s">
        <v>219</v>
      </c>
      <c r="F124" t="s">
        <v>226</v>
      </c>
      <c r="G124" s="5">
        <v>841.2</v>
      </c>
      <c r="H124">
        <v>5</v>
      </c>
      <c r="I124">
        <v>0.05</v>
      </c>
      <c r="J124" s="5">
        <v>127.67</v>
      </c>
      <c r="K124" s="9">
        <f>Table1[[#This Row],[Profit]]/Table1[[#This Row],[Sales]]%</f>
        <v>15.177127912505943</v>
      </c>
    </row>
    <row r="125" spans="1:11" x14ac:dyDescent="0.2">
      <c r="A125" t="s">
        <v>133</v>
      </c>
      <c r="B125" s="7">
        <v>45107</v>
      </c>
      <c r="C125" t="s">
        <v>211</v>
      </c>
      <c r="D125" t="s">
        <v>215</v>
      </c>
      <c r="E125" t="s">
        <v>221</v>
      </c>
      <c r="F125" t="s">
        <v>228</v>
      </c>
      <c r="G125" s="5">
        <v>288.10000000000002</v>
      </c>
      <c r="H125">
        <v>3</v>
      </c>
      <c r="I125">
        <v>0</v>
      </c>
      <c r="J125" s="5">
        <v>79.47</v>
      </c>
      <c r="K125" s="9">
        <f>Table1[[#This Row],[Profit]]/Table1[[#This Row],[Sales]]%</f>
        <v>27.584172162443593</v>
      </c>
    </row>
    <row r="126" spans="1:11" x14ac:dyDescent="0.2">
      <c r="A126" t="s">
        <v>134</v>
      </c>
      <c r="B126" s="7">
        <v>45257</v>
      </c>
      <c r="C126" t="s">
        <v>210</v>
      </c>
      <c r="D126" t="s">
        <v>216</v>
      </c>
      <c r="E126" t="s">
        <v>220</v>
      </c>
      <c r="F126" t="s">
        <v>227</v>
      </c>
      <c r="G126" s="5">
        <v>600.6</v>
      </c>
      <c r="H126">
        <v>3</v>
      </c>
      <c r="I126">
        <v>0</v>
      </c>
      <c r="J126" s="5">
        <v>166.61</v>
      </c>
      <c r="K126" s="9">
        <f>Table1[[#This Row],[Profit]]/Table1[[#This Row],[Sales]]%</f>
        <v>27.740592740592742</v>
      </c>
    </row>
    <row r="127" spans="1:11" x14ac:dyDescent="0.2">
      <c r="A127" t="s">
        <v>135</v>
      </c>
      <c r="B127" s="7">
        <v>45094</v>
      </c>
      <c r="C127" t="s">
        <v>213</v>
      </c>
      <c r="D127" t="s">
        <v>214</v>
      </c>
      <c r="E127" t="s">
        <v>223</v>
      </c>
      <c r="F127" t="s">
        <v>227</v>
      </c>
      <c r="G127" s="5">
        <v>797.19</v>
      </c>
      <c r="H127">
        <v>6</v>
      </c>
      <c r="I127">
        <v>0.2</v>
      </c>
      <c r="J127" s="5">
        <v>-19.57</v>
      </c>
      <c r="K127" s="9">
        <f>Table1[[#This Row],[Profit]]/Table1[[#This Row],[Sales]]%</f>
        <v>-2.4548727405010098</v>
      </c>
    </row>
    <row r="128" spans="1:11" x14ac:dyDescent="0.2">
      <c r="A128" t="s">
        <v>136</v>
      </c>
      <c r="B128" s="7">
        <v>45066</v>
      </c>
      <c r="C128" t="s">
        <v>211</v>
      </c>
      <c r="D128" t="s">
        <v>216</v>
      </c>
      <c r="E128" t="s">
        <v>220</v>
      </c>
      <c r="F128" t="s">
        <v>226</v>
      </c>
      <c r="G128" s="5">
        <v>759.23</v>
      </c>
      <c r="H128">
        <v>6</v>
      </c>
      <c r="I128">
        <v>0</v>
      </c>
      <c r="J128" s="5">
        <v>126.85</v>
      </c>
      <c r="K128" s="9">
        <f>Table1[[#This Row],[Profit]]/Table1[[#This Row],[Sales]]%</f>
        <v>16.707717029095267</v>
      </c>
    </row>
    <row r="129" spans="1:11" x14ac:dyDescent="0.2">
      <c r="A129" t="s">
        <v>137</v>
      </c>
      <c r="B129" s="7">
        <v>44965</v>
      </c>
      <c r="C129" t="s">
        <v>211</v>
      </c>
      <c r="D129" t="s">
        <v>214</v>
      </c>
      <c r="E129" t="s">
        <v>217</v>
      </c>
      <c r="F129" t="s">
        <v>228</v>
      </c>
      <c r="G129" s="5">
        <v>690.69</v>
      </c>
      <c r="H129">
        <v>7</v>
      </c>
      <c r="I129">
        <v>0.2</v>
      </c>
      <c r="J129" s="5">
        <v>-40.44</v>
      </c>
      <c r="K129" s="9">
        <f>Table1[[#This Row],[Profit]]/Table1[[#This Row],[Sales]]%</f>
        <v>-5.8550145506667244</v>
      </c>
    </row>
    <row r="130" spans="1:11" x14ac:dyDescent="0.2">
      <c r="A130" t="s">
        <v>138</v>
      </c>
      <c r="B130" s="7">
        <v>45129</v>
      </c>
      <c r="C130" t="s">
        <v>210</v>
      </c>
      <c r="D130" t="s">
        <v>216</v>
      </c>
      <c r="E130" t="s">
        <v>224</v>
      </c>
      <c r="F130" t="s">
        <v>227</v>
      </c>
      <c r="G130" s="5">
        <v>482.05</v>
      </c>
      <c r="H130">
        <v>5</v>
      </c>
      <c r="I130">
        <v>0.2</v>
      </c>
      <c r="J130" s="5">
        <v>-26.39</v>
      </c>
      <c r="K130" s="9">
        <f>Table1[[#This Row],[Profit]]/Table1[[#This Row],[Sales]]%</f>
        <v>-5.47453583653148</v>
      </c>
    </row>
    <row r="131" spans="1:11" x14ac:dyDescent="0.2">
      <c r="A131" t="s">
        <v>139</v>
      </c>
      <c r="B131" s="7">
        <v>45253</v>
      </c>
      <c r="C131" t="s">
        <v>212</v>
      </c>
      <c r="D131" t="s">
        <v>214</v>
      </c>
      <c r="E131" t="s">
        <v>217</v>
      </c>
      <c r="F131" t="s">
        <v>227</v>
      </c>
      <c r="G131" s="5">
        <v>497.9</v>
      </c>
      <c r="H131">
        <v>10</v>
      </c>
      <c r="I131">
        <v>0.2</v>
      </c>
      <c r="J131" s="5">
        <v>-33.86</v>
      </c>
      <c r="K131" s="9">
        <f>Table1[[#This Row],[Profit]]/Table1[[#This Row],[Sales]]%</f>
        <v>-6.8005623619200639</v>
      </c>
    </row>
    <row r="132" spans="1:11" x14ac:dyDescent="0.2">
      <c r="A132" t="s">
        <v>140</v>
      </c>
      <c r="B132" s="7">
        <v>45239</v>
      </c>
      <c r="C132" t="s">
        <v>211</v>
      </c>
      <c r="D132" t="s">
        <v>215</v>
      </c>
      <c r="E132" t="s">
        <v>221</v>
      </c>
      <c r="F132" t="s">
        <v>228</v>
      </c>
      <c r="G132" s="5">
        <v>832.66</v>
      </c>
      <c r="H132">
        <v>5</v>
      </c>
      <c r="I132">
        <v>0.15</v>
      </c>
      <c r="J132" s="5">
        <v>-58.98</v>
      </c>
      <c r="K132" s="9">
        <f>Table1[[#This Row],[Profit]]/Table1[[#This Row],[Sales]]%</f>
        <v>-7.0833233252468002</v>
      </c>
    </row>
    <row r="133" spans="1:11" x14ac:dyDescent="0.2">
      <c r="A133" t="s">
        <v>141</v>
      </c>
      <c r="B133" s="7">
        <v>44950</v>
      </c>
      <c r="C133" t="s">
        <v>210</v>
      </c>
      <c r="D133" t="s">
        <v>216</v>
      </c>
      <c r="E133" t="s">
        <v>220</v>
      </c>
      <c r="F133" t="s">
        <v>227</v>
      </c>
      <c r="G133" s="5">
        <v>142.33000000000001</v>
      </c>
      <c r="H133">
        <v>9</v>
      </c>
      <c r="I133">
        <v>0.05</v>
      </c>
      <c r="J133" s="5">
        <v>13.83</v>
      </c>
      <c r="K133" s="9">
        <f>Table1[[#This Row],[Profit]]/Table1[[#This Row],[Sales]]%</f>
        <v>9.7168551956720286</v>
      </c>
    </row>
    <row r="134" spans="1:11" x14ac:dyDescent="0.2">
      <c r="A134" t="s">
        <v>142</v>
      </c>
      <c r="B134" s="7">
        <v>45116</v>
      </c>
      <c r="C134" t="s">
        <v>213</v>
      </c>
      <c r="D134" t="s">
        <v>215</v>
      </c>
      <c r="E134" t="s">
        <v>219</v>
      </c>
      <c r="F134" t="s">
        <v>228</v>
      </c>
      <c r="G134" s="5">
        <v>196.8</v>
      </c>
      <c r="H134">
        <v>7</v>
      </c>
      <c r="I134">
        <v>0</v>
      </c>
      <c r="J134" s="5">
        <v>50.86</v>
      </c>
      <c r="K134" s="9">
        <f>Table1[[#This Row],[Profit]]/Table1[[#This Row],[Sales]]%</f>
        <v>25.843495934959346</v>
      </c>
    </row>
    <row r="135" spans="1:11" x14ac:dyDescent="0.2">
      <c r="A135" t="s">
        <v>143</v>
      </c>
      <c r="B135" s="7">
        <v>45242</v>
      </c>
      <c r="C135" t="s">
        <v>213</v>
      </c>
      <c r="D135" t="s">
        <v>216</v>
      </c>
      <c r="E135" t="s">
        <v>225</v>
      </c>
      <c r="F135" t="s">
        <v>228</v>
      </c>
      <c r="G135" s="5">
        <v>402</v>
      </c>
      <c r="H135">
        <v>8</v>
      </c>
      <c r="I135">
        <v>0.15</v>
      </c>
      <c r="J135" s="5">
        <v>55.33</v>
      </c>
      <c r="K135" s="9">
        <f>Table1[[#This Row],[Profit]]/Table1[[#This Row],[Sales]]%</f>
        <v>13.763681592039802</v>
      </c>
    </row>
    <row r="136" spans="1:11" x14ac:dyDescent="0.2">
      <c r="A136" t="s">
        <v>144</v>
      </c>
      <c r="B136" s="7">
        <v>45112</v>
      </c>
      <c r="C136" t="s">
        <v>210</v>
      </c>
      <c r="D136" t="s">
        <v>215</v>
      </c>
      <c r="E136" t="s">
        <v>218</v>
      </c>
      <c r="F136" t="s">
        <v>228</v>
      </c>
      <c r="G136" s="5">
        <v>906.61</v>
      </c>
      <c r="H136">
        <v>6</v>
      </c>
      <c r="I136">
        <v>0</v>
      </c>
      <c r="J136" s="5">
        <v>135.57</v>
      </c>
      <c r="K136" s="9">
        <f>Table1[[#This Row],[Profit]]/Table1[[#This Row],[Sales]]%</f>
        <v>14.953508123669492</v>
      </c>
    </row>
    <row r="137" spans="1:11" x14ac:dyDescent="0.2">
      <c r="A137" t="s">
        <v>145</v>
      </c>
      <c r="B137" s="7">
        <v>45024</v>
      </c>
      <c r="C137" t="s">
        <v>210</v>
      </c>
      <c r="D137" t="s">
        <v>216</v>
      </c>
      <c r="E137" t="s">
        <v>225</v>
      </c>
      <c r="F137" t="s">
        <v>228</v>
      </c>
      <c r="G137" s="5">
        <v>251.5</v>
      </c>
      <c r="H137">
        <v>10</v>
      </c>
      <c r="I137">
        <v>0</v>
      </c>
      <c r="J137" s="5">
        <v>15.76</v>
      </c>
      <c r="K137" s="9">
        <f>Table1[[#This Row],[Profit]]/Table1[[#This Row],[Sales]]%</f>
        <v>6.2664015904572556</v>
      </c>
    </row>
    <row r="138" spans="1:11" x14ac:dyDescent="0.2">
      <c r="A138" t="s">
        <v>146</v>
      </c>
      <c r="B138" s="7">
        <v>45097</v>
      </c>
      <c r="C138" t="s">
        <v>211</v>
      </c>
      <c r="D138" t="s">
        <v>214</v>
      </c>
      <c r="E138" t="s">
        <v>217</v>
      </c>
      <c r="F138" t="s">
        <v>227</v>
      </c>
      <c r="G138" s="5">
        <v>115.18</v>
      </c>
      <c r="H138">
        <v>9</v>
      </c>
      <c r="I138">
        <v>0.05</v>
      </c>
      <c r="J138" s="5">
        <v>16.88</v>
      </c>
      <c r="K138" s="9">
        <f>Table1[[#This Row],[Profit]]/Table1[[#This Row],[Sales]]%</f>
        <v>14.655322104532035</v>
      </c>
    </row>
    <row r="139" spans="1:11" x14ac:dyDescent="0.2">
      <c r="A139" t="s">
        <v>147</v>
      </c>
      <c r="B139" s="7">
        <v>45046</v>
      </c>
      <c r="C139" t="s">
        <v>212</v>
      </c>
      <c r="D139" t="s">
        <v>214</v>
      </c>
      <c r="E139" t="s">
        <v>217</v>
      </c>
      <c r="F139" t="s">
        <v>227</v>
      </c>
      <c r="G139" s="5">
        <v>313.41000000000003</v>
      </c>
      <c r="H139">
        <v>3</v>
      </c>
      <c r="I139">
        <v>0.05</v>
      </c>
      <c r="J139" s="5">
        <v>42.33</v>
      </c>
      <c r="K139" s="9">
        <f>Table1[[#This Row],[Profit]]/Table1[[#This Row],[Sales]]%</f>
        <v>13.50626974250981</v>
      </c>
    </row>
    <row r="140" spans="1:11" x14ac:dyDescent="0.2">
      <c r="A140" t="s">
        <v>148</v>
      </c>
      <c r="B140" s="7">
        <v>45016</v>
      </c>
      <c r="C140" t="s">
        <v>210</v>
      </c>
      <c r="D140" t="s">
        <v>215</v>
      </c>
      <c r="E140" t="s">
        <v>221</v>
      </c>
      <c r="F140" t="s">
        <v>227</v>
      </c>
      <c r="G140" s="5">
        <v>64.12</v>
      </c>
      <c r="H140">
        <v>4</v>
      </c>
      <c r="I140">
        <v>0.2</v>
      </c>
      <c r="J140" s="5">
        <v>-4.43</v>
      </c>
      <c r="K140" s="9">
        <f>Table1[[#This Row],[Profit]]/Table1[[#This Row],[Sales]]%</f>
        <v>-6.9089207735495943</v>
      </c>
    </row>
    <row r="141" spans="1:11" x14ac:dyDescent="0.2">
      <c r="A141" t="s">
        <v>149</v>
      </c>
      <c r="B141" s="7">
        <v>45016</v>
      </c>
      <c r="C141" t="s">
        <v>212</v>
      </c>
      <c r="D141" t="s">
        <v>214</v>
      </c>
      <c r="E141" t="s">
        <v>223</v>
      </c>
      <c r="F141" t="s">
        <v>228</v>
      </c>
      <c r="G141" s="5">
        <v>449.91</v>
      </c>
      <c r="H141">
        <v>2</v>
      </c>
      <c r="I141">
        <v>0</v>
      </c>
      <c r="J141" s="5">
        <v>76.06</v>
      </c>
      <c r="K141" s="9">
        <f>Table1[[#This Row],[Profit]]/Table1[[#This Row],[Sales]]%</f>
        <v>16.905603342890799</v>
      </c>
    </row>
    <row r="142" spans="1:11" x14ac:dyDescent="0.2">
      <c r="A142" t="s">
        <v>150</v>
      </c>
      <c r="B142" s="7">
        <v>45112</v>
      </c>
      <c r="C142" t="s">
        <v>210</v>
      </c>
      <c r="D142" t="s">
        <v>216</v>
      </c>
      <c r="E142" t="s">
        <v>224</v>
      </c>
      <c r="F142" t="s">
        <v>227</v>
      </c>
      <c r="G142" s="5">
        <v>948.14</v>
      </c>
      <c r="H142">
        <v>1</v>
      </c>
      <c r="I142">
        <v>0.2</v>
      </c>
      <c r="J142" s="5">
        <v>-70.72</v>
      </c>
      <c r="K142" s="9">
        <f>Table1[[#This Row],[Profit]]/Table1[[#This Row],[Sales]]%</f>
        <v>-7.4588140991836642</v>
      </c>
    </row>
    <row r="143" spans="1:11" x14ac:dyDescent="0.2">
      <c r="A143" t="s">
        <v>151</v>
      </c>
      <c r="B143" s="7">
        <v>45256</v>
      </c>
      <c r="C143" t="s">
        <v>210</v>
      </c>
      <c r="D143" t="s">
        <v>214</v>
      </c>
      <c r="E143" t="s">
        <v>222</v>
      </c>
      <c r="F143" t="s">
        <v>226</v>
      </c>
      <c r="G143" s="5">
        <v>454.96</v>
      </c>
      <c r="H143">
        <v>2</v>
      </c>
      <c r="I143">
        <v>0.15</v>
      </c>
      <c r="J143" s="5">
        <v>35.53</v>
      </c>
      <c r="K143" s="9">
        <f>Table1[[#This Row],[Profit]]/Table1[[#This Row],[Sales]]%</f>
        <v>7.8094777562862676</v>
      </c>
    </row>
    <row r="144" spans="1:11" x14ac:dyDescent="0.2">
      <c r="A144" t="s">
        <v>152</v>
      </c>
      <c r="B144" s="7">
        <v>45154</v>
      </c>
      <c r="C144" t="s">
        <v>210</v>
      </c>
      <c r="D144" t="s">
        <v>214</v>
      </c>
      <c r="E144" t="s">
        <v>222</v>
      </c>
      <c r="F144" t="s">
        <v>228</v>
      </c>
      <c r="G144" s="5">
        <v>190.92</v>
      </c>
      <c r="H144">
        <v>3</v>
      </c>
      <c r="I144">
        <v>0.1</v>
      </c>
      <c r="J144" s="5">
        <v>20.25</v>
      </c>
      <c r="K144" s="9">
        <f>Table1[[#This Row],[Profit]]/Table1[[#This Row],[Sales]]%</f>
        <v>10.606536769327468</v>
      </c>
    </row>
    <row r="145" spans="1:11" x14ac:dyDescent="0.2">
      <c r="A145" t="s">
        <v>153</v>
      </c>
      <c r="B145" s="7">
        <v>45226</v>
      </c>
      <c r="C145" t="s">
        <v>212</v>
      </c>
      <c r="D145" t="s">
        <v>216</v>
      </c>
      <c r="E145" t="s">
        <v>224</v>
      </c>
      <c r="F145" t="s">
        <v>228</v>
      </c>
      <c r="G145" s="5">
        <v>330.15</v>
      </c>
      <c r="H145">
        <v>9</v>
      </c>
      <c r="I145">
        <v>0.2</v>
      </c>
      <c r="J145" s="5">
        <v>-14.01</v>
      </c>
      <c r="K145" s="9">
        <f>Table1[[#This Row],[Profit]]/Table1[[#This Row],[Sales]]%</f>
        <v>-4.243525670149932</v>
      </c>
    </row>
    <row r="146" spans="1:11" x14ac:dyDescent="0.2">
      <c r="A146" t="s">
        <v>154</v>
      </c>
      <c r="B146" s="7">
        <v>45286</v>
      </c>
      <c r="C146" t="s">
        <v>210</v>
      </c>
      <c r="D146" t="s">
        <v>215</v>
      </c>
      <c r="E146" t="s">
        <v>219</v>
      </c>
      <c r="F146" t="s">
        <v>228</v>
      </c>
      <c r="G146" s="5">
        <v>734.8</v>
      </c>
      <c r="H146">
        <v>4</v>
      </c>
      <c r="I146">
        <v>0.15</v>
      </c>
      <c r="J146" s="5">
        <v>9.4700000000000006</v>
      </c>
      <c r="K146" s="9">
        <f>Table1[[#This Row],[Profit]]/Table1[[#This Row],[Sales]]%</f>
        <v>1.2887860642351661</v>
      </c>
    </row>
    <row r="147" spans="1:11" x14ac:dyDescent="0.2">
      <c r="A147" t="s">
        <v>155</v>
      </c>
      <c r="B147" s="7">
        <v>45043</v>
      </c>
      <c r="C147" t="s">
        <v>213</v>
      </c>
      <c r="D147" t="s">
        <v>216</v>
      </c>
      <c r="E147" t="s">
        <v>220</v>
      </c>
      <c r="F147" t="s">
        <v>226</v>
      </c>
      <c r="G147" s="5">
        <v>445.19</v>
      </c>
      <c r="H147">
        <v>2</v>
      </c>
      <c r="I147">
        <v>0.1</v>
      </c>
      <c r="J147" s="5">
        <v>25.24</v>
      </c>
      <c r="K147" s="9">
        <f>Table1[[#This Row],[Profit]]/Table1[[#This Row],[Sales]]%</f>
        <v>5.6694894314786941</v>
      </c>
    </row>
    <row r="148" spans="1:11" x14ac:dyDescent="0.2">
      <c r="A148" t="s">
        <v>156</v>
      </c>
      <c r="B148" s="7">
        <v>45267</v>
      </c>
      <c r="C148" t="s">
        <v>212</v>
      </c>
      <c r="D148" t="s">
        <v>216</v>
      </c>
      <c r="E148" t="s">
        <v>225</v>
      </c>
      <c r="F148" t="s">
        <v>228</v>
      </c>
      <c r="G148" s="5">
        <v>926.84</v>
      </c>
      <c r="H148">
        <v>2</v>
      </c>
      <c r="I148">
        <v>0</v>
      </c>
      <c r="J148" s="5">
        <v>239.07</v>
      </c>
      <c r="K148" s="9">
        <f>Table1[[#This Row],[Profit]]/Table1[[#This Row],[Sales]]%</f>
        <v>25.794096068361313</v>
      </c>
    </row>
    <row r="149" spans="1:11" x14ac:dyDescent="0.2">
      <c r="A149" t="s">
        <v>157</v>
      </c>
      <c r="B149" s="7">
        <v>44974</v>
      </c>
      <c r="C149" t="s">
        <v>213</v>
      </c>
      <c r="D149" t="s">
        <v>214</v>
      </c>
      <c r="E149" t="s">
        <v>217</v>
      </c>
      <c r="F149" t="s">
        <v>228</v>
      </c>
      <c r="G149" s="5">
        <v>404.01</v>
      </c>
      <c r="H149">
        <v>3</v>
      </c>
      <c r="I149">
        <v>0.2</v>
      </c>
      <c r="J149" s="5">
        <v>-54.54</v>
      </c>
      <c r="K149" s="9">
        <f>Table1[[#This Row],[Profit]]/Table1[[#This Row],[Sales]]%</f>
        <v>-13.499665849855202</v>
      </c>
    </row>
    <row r="150" spans="1:11" x14ac:dyDescent="0.2">
      <c r="A150" t="s">
        <v>158</v>
      </c>
      <c r="B150" s="7">
        <v>45214</v>
      </c>
      <c r="C150" t="s">
        <v>212</v>
      </c>
      <c r="D150" t="s">
        <v>215</v>
      </c>
      <c r="E150" t="s">
        <v>221</v>
      </c>
      <c r="F150" t="s">
        <v>226</v>
      </c>
      <c r="G150" s="5">
        <v>385.92</v>
      </c>
      <c r="H150">
        <v>7</v>
      </c>
      <c r="I150">
        <v>0</v>
      </c>
      <c r="J150" s="5">
        <v>112.73</v>
      </c>
      <c r="K150" s="9">
        <f>Table1[[#This Row],[Profit]]/Table1[[#This Row],[Sales]]%</f>
        <v>29.210717247097847</v>
      </c>
    </row>
    <row r="151" spans="1:11" x14ac:dyDescent="0.2">
      <c r="A151" t="s">
        <v>159</v>
      </c>
      <c r="B151" s="7">
        <v>45234</v>
      </c>
      <c r="C151" t="s">
        <v>212</v>
      </c>
      <c r="D151" t="s">
        <v>216</v>
      </c>
      <c r="E151" t="s">
        <v>225</v>
      </c>
      <c r="F151" t="s">
        <v>228</v>
      </c>
      <c r="G151" s="5">
        <v>532.04</v>
      </c>
      <c r="H151">
        <v>3</v>
      </c>
      <c r="I151">
        <v>0.15</v>
      </c>
      <c r="J151" s="5">
        <v>-23.38</v>
      </c>
      <c r="K151" s="9">
        <f>Table1[[#This Row],[Profit]]/Table1[[#This Row],[Sales]]%</f>
        <v>-4.3944064356063457</v>
      </c>
    </row>
    <row r="152" spans="1:11" x14ac:dyDescent="0.2">
      <c r="A152" t="s">
        <v>160</v>
      </c>
      <c r="B152" s="7">
        <v>44982</v>
      </c>
      <c r="C152" t="s">
        <v>212</v>
      </c>
      <c r="D152" t="s">
        <v>215</v>
      </c>
      <c r="E152" t="s">
        <v>218</v>
      </c>
      <c r="F152" t="s">
        <v>227</v>
      </c>
      <c r="G152" s="5">
        <v>774.48</v>
      </c>
      <c r="H152">
        <v>10</v>
      </c>
      <c r="I152">
        <v>0.05</v>
      </c>
      <c r="J152" s="5">
        <v>156.29</v>
      </c>
      <c r="K152" s="9">
        <f>Table1[[#This Row],[Profit]]/Table1[[#This Row],[Sales]]%</f>
        <v>20.179991736390868</v>
      </c>
    </row>
    <row r="153" spans="1:11" x14ac:dyDescent="0.2">
      <c r="A153" t="s">
        <v>161</v>
      </c>
      <c r="B153" s="7">
        <v>45214</v>
      </c>
      <c r="C153" t="s">
        <v>210</v>
      </c>
      <c r="D153" t="s">
        <v>215</v>
      </c>
      <c r="E153" t="s">
        <v>219</v>
      </c>
      <c r="F153" t="s">
        <v>228</v>
      </c>
      <c r="G153" s="5">
        <v>304.08</v>
      </c>
      <c r="H153">
        <v>3</v>
      </c>
      <c r="I153">
        <v>0.1</v>
      </c>
      <c r="J153" s="5">
        <v>38.22</v>
      </c>
      <c r="K153" s="9">
        <f>Table1[[#This Row],[Profit]]/Table1[[#This Row],[Sales]]%</f>
        <v>12.569060773480663</v>
      </c>
    </row>
    <row r="154" spans="1:11" x14ac:dyDescent="0.2">
      <c r="A154" t="s">
        <v>162</v>
      </c>
      <c r="B154" s="7">
        <v>45085</v>
      </c>
      <c r="C154" t="s">
        <v>212</v>
      </c>
      <c r="D154" t="s">
        <v>216</v>
      </c>
      <c r="E154" t="s">
        <v>225</v>
      </c>
      <c r="F154" t="s">
        <v>227</v>
      </c>
      <c r="G154" s="5">
        <v>876.37</v>
      </c>
      <c r="H154">
        <v>10</v>
      </c>
      <c r="I154">
        <v>0.15</v>
      </c>
      <c r="J154" s="5">
        <v>-72.39</v>
      </c>
      <c r="K154" s="9">
        <f>Table1[[#This Row],[Profit]]/Table1[[#This Row],[Sales]]%</f>
        <v>-8.2602097287675296</v>
      </c>
    </row>
    <row r="155" spans="1:11" x14ac:dyDescent="0.2">
      <c r="A155" t="s">
        <v>163</v>
      </c>
      <c r="B155" s="7">
        <v>45251</v>
      </c>
      <c r="C155" t="s">
        <v>210</v>
      </c>
      <c r="D155" t="s">
        <v>214</v>
      </c>
      <c r="E155" t="s">
        <v>217</v>
      </c>
      <c r="F155" t="s">
        <v>228</v>
      </c>
      <c r="G155" s="5">
        <v>254.38</v>
      </c>
      <c r="H155">
        <v>7</v>
      </c>
      <c r="I155">
        <v>0.15</v>
      </c>
      <c r="J155" s="5">
        <v>-3.76</v>
      </c>
      <c r="K155" s="9">
        <f>Table1[[#This Row],[Profit]]/Table1[[#This Row],[Sales]]%</f>
        <v>-1.4781036244987813</v>
      </c>
    </row>
    <row r="156" spans="1:11" x14ac:dyDescent="0.2">
      <c r="A156" t="s">
        <v>164</v>
      </c>
      <c r="B156" s="7">
        <v>45116</v>
      </c>
      <c r="C156" t="s">
        <v>212</v>
      </c>
      <c r="D156" t="s">
        <v>215</v>
      </c>
      <c r="E156" t="s">
        <v>218</v>
      </c>
      <c r="F156" t="s">
        <v>228</v>
      </c>
      <c r="G156" s="5">
        <v>616.41</v>
      </c>
      <c r="H156">
        <v>1</v>
      </c>
      <c r="I156">
        <v>0.05</v>
      </c>
      <c r="J156" s="5">
        <v>24.26</v>
      </c>
      <c r="K156" s="9">
        <f>Table1[[#This Row],[Profit]]/Table1[[#This Row],[Sales]]%</f>
        <v>3.9356921529501476</v>
      </c>
    </row>
    <row r="157" spans="1:11" x14ac:dyDescent="0.2">
      <c r="A157" t="s">
        <v>165</v>
      </c>
      <c r="B157" s="7">
        <v>45243</v>
      </c>
      <c r="C157" t="s">
        <v>210</v>
      </c>
      <c r="D157" t="s">
        <v>215</v>
      </c>
      <c r="E157" t="s">
        <v>221</v>
      </c>
      <c r="F157" t="s">
        <v>226</v>
      </c>
      <c r="G157" s="5">
        <v>470.96</v>
      </c>
      <c r="H157">
        <v>7</v>
      </c>
      <c r="I157">
        <v>0.15</v>
      </c>
      <c r="J157" s="5">
        <v>24.38</v>
      </c>
      <c r="K157" s="9">
        <f>Table1[[#This Row],[Profit]]/Table1[[#This Row],[Sales]]%</f>
        <v>5.1766604382537791</v>
      </c>
    </row>
    <row r="158" spans="1:11" x14ac:dyDescent="0.2">
      <c r="A158" t="s">
        <v>166</v>
      </c>
      <c r="B158" s="7">
        <v>45139</v>
      </c>
      <c r="C158" t="s">
        <v>212</v>
      </c>
      <c r="D158" t="s">
        <v>214</v>
      </c>
      <c r="E158" t="s">
        <v>217</v>
      </c>
      <c r="F158" t="s">
        <v>227</v>
      </c>
      <c r="G158" s="5">
        <v>377.91</v>
      </c>
      <c r="H158">
        <v>2</v>
      </c>
      <c r="I158">
        <v>0.1</v>
      </c>
      <c r="J158" s="5">
        <v>45.18</v>
      </c>
      <c r="K158" s="9">
        <f>Table1[[#This Row],[Profit]]/Table1[[#This Row],[Sales]]%</f>
        <v>11.955227435103595</v>
      </c>
    </row>
    <row r="159" spans="1:11" x14ac:dyDescent="0.2">
      <c r="A159" t="s">
        <v>167</v>
      </c>
      <c r="B159" s="7">
        <v>45230</v>
      </c>
      <c r="C159" t="s">
        <v>213</v>
      </c>
      <c r="D159" t="s">
        <v>215</v>
      </c>
      <c r="E159" t="s">
        <v>219</v>
      </c>
      <c r="F159" t="s">
        <v>226</v>
      </c>
      <c r="G159" s="5">
        <v>93.15</v>
      </c>
      <c r="H159">
        <v>7</v>
      </c>
      <c r="I159">
        <v>0.2</v>
      </c>
      <c r="J159" s="5">
        <v>-12.7</v>
      </c>
      <c r="K159" s="9">
        <f>Table1[[#This Row],[Profit]]/Table1[[#This Row],[Sales]]%</f>
        <v>-13.633923778851313</v>
      </c>
    </row>
    <row r="160" spans="1:11" x14ac:dyDescent="0.2">
      <c r="A160" t="s">
        <v>168</v>
      </c>
      <c r="B160" s="7">
        <v>45031</v>
      </c>
      <c r="C160" t="s">
        <v>212</v>
      </c>
      <c r="D160" t="s">
        <v>214</v>
      </c>
      <c r="E160" t="s">
        <v>223</v>
      </c>
      <c r="F160" t="s">
        <v>226</v>
      </c>
      <c r="G160" s="5">
        <v>324.97000000000003</v>
      </c>
      <c r="H160">
        <v>2</v>
      </c>
      <c r="I160">
        <v>0</v>
      </c>
      <c r="J160" s="5">
        <v>56.66</v>
      </c>
      <c r="K160" s="9">
        <f>Table1[[#This Row],[Profit]]/Table1[[#This Row],[Sales]]%</f>
        <v>17.435455580515121</v>
      </c>
    </row>
    <row r="161" spans="1:11" x14ac:dyDescent="0.2">
      <c r="A161" t="s">
        <v>169</v>
      </c>
      <c r="B161" s="7">
        <v>45147</v>
      </c>
      <c r="C161" t="s">
        <v>211</v>
      </c>
      <c r="D161" t="s">
        <v>214</v>
      </c>
      <c r="E161" t="s">
        <v>222</v>
      </c>
      <c r="F161" t="s">
        <v>228</v>
      </c>
      <c r="G161" s="5">
        <v>718.49</v>
      </c>
      <c r="H161">
        <v>9</v>
      </c>
      <c r="I161">
        <v>0.2</v>
      </c>
      <c r="J161" s="5">
        <v>41.92</v>
      </c>
      <c r="K161" s="9">
        <f>Table1[[#This Row],[Profit]]/Table1[[#This Row],[Sales]]%</f>
        <v>5.8344583779871675</v>
      </c>
    </row>
    <row r="162" spans="1:11" x14ac:dyDescent="0.2">
      <c r="A162" t="s">
        <v>170</v>
      </c>
      <c r="B162" s="7">
        <v>45108</v>
      </c>
      <c r="C162" t="s">
        <v>210</v>
      </c>
      <c r="D162" t="s">
        <v>216</v>
      </c>
      <c r="E162" t="s">
        <v>224</v>
      </c>
      <c r="F162" t="s">
        <v>227</v>
      </c>
      <c r="G162" s="5">
        <v>464.41</v>
      </c>
      <c r="H162">
        <v>8</v>
      </c>
      <c r="I162">
        <v>0</v>
      </c>
      <c r="J162" s="5">
        <v>123.31</v>
      </c>
      <c r="K162" s="9">
        <f>Table1[[#This Row],[Profit]]/Table1[[#This Row],[Sales]]%</f>
        <v>26.551969165177322</v>
      </c>
    </row>
    <row r="163" spans="1:11" x14ac:dyDescent="0.2">
      <c r="A163" t="s">
        <v>171</v>
      </c>
      <c r="B163" s="7">
        <v>45221</v>
      </c>
      <c r="C163" t="s">
        <v>213</v>
      </c>
      <c r="D163" t="s">
        <v>215</v>
      </c>
      <c r="E163" t="s">
        <v>218</v>
      </c>
      <c r="F163" t="s">
        <v>228</v>
      </c>
      <c r="G163" s="5">
        <v>658.13</v>
      </c>
      <c r="H163">
        <v>5</v>
      </c>
      <c r="I163">
        <v>0</v>
      </c>
      <c r="J163" s="5">
        <v>99.55</v>
      </c>
      <c r="K163" s="9">
        <f>Table1[[#This Row],[Profit]]/Table1[[#This Row],[Sales]]%</f>
        <v>15.126190874143406</v>
      </c>
    </row>
    <row r="164" spans="1:11" x14ac:dyDescent="0.2">
      <c r="A164" t="s">
        <v>172</v>
      </c>
      <c r="B164" s="7">
        <v>45093</v>
      </c>
      <c r="C164" t="s">
        <v>211</v>
      </c>
      <c r="D164" t="s">
        <v>215</v>
      </c>
      <c r="E164" t="s">
        <v>218</v>
      </c>
      <c r="F164" t="s">
        <v>228</v>
      </c>
      <c r="G164" s="5">
        <v>923.78</v>
      </c>
      <c r="H164">
        <v>2</v>
      </c>
      <c r="I164">
        <v>0.15</v>
      </c>
      <c r="J164" s="5">
        <v>102.65</v>
      </c>
      <c r="K164" s="9">
        <f>Table1[[#This Row],[Profit]]/Table1[[#This Row],[Sales]]%</f>
        <v>11.111953062417459</v>
      </c>
    </row>
    <row r="165" spans="1:11" x14ac:dyDescent="0.2">
      <c r="A165" t="s">
        <v>173</v>
      </c>
      <c r="B165" s="7">
        <v>45051</v>
      </c>
      <c r="C165" t="s">
        <v>213</v>
      </c>
      <c r="D165" t="s">
        <v>215</v>
      </c>
      <c r="E165" t="s">
        <v>218</v>
      </c>
      <c r="F165" t="s">
        <v>228</v>
      </c>
      <c r="G165" s="5">
        <v>124.71</v>
      </c>
      <c r="H165">
        <v>5</v>
      </c>
      <c r="I165">
        <v>0.1</v>
      </c>
      <c r="J165" s="5">
        <v>0.67</v>
      </c>
      <c r="K165" s="9">
        <f>Table1[[#This Row],[Profit]]/Table1[[#This Row],[Sales]]%</f>
        <v>0.53724641167508624</v>
      </c>
    </row>
    <row r="166" spans="1:11" x14ac:dyDescent="0.2">
      <c r="A166" t="s">
        <v>174</v>
      </c>
      <c r="B166" s="7">
        <v>45013</v>
      </c>
      <c r="C166" t="s">
        <v>210</v>
      </c>
      <c r="D166" t="s">
        <v>215</v>
      </c>
      <c r="E166" t="s">
        <v>219</v>
      </c>
      <c r="F166" t="s">
        <v>227</v>
      </c>
      <c r="G166" s="5">
        <v>554.07000000000005</v>
      </c>
      <c r="H166">
        <v>4</v>
      </c>
      <c r="I166">
        <v>0.1</v>
      </c>
      <c r="J166" s="5">
        <v>20.93</v>
      </c>
      <c r="K166" s="9">
        <f>Table1[[#This Row],[Profit]]/Table1[[#This Row],[Sales]]%</f>
        <v>3.7775010377750102</v>
      </c>
    </row>
    <row r="167" spans="1:11" x14ac:dyDescent="0.2">
      <c r="A167" t="s">
        <v>175</v>
      </c>
      <c r="B167" s="7">
        <v>45257</v>
      </c>
      <c r="C167" t="s">
        <v>211</v>
      </c>
      <c r="D167" t="s">
        <v>214</v>
      </c>
      <c r="E167" t="s">
        <v>223</v>
      </c>
      <c r="F167" t="s">
        <v>227</v>
      </c>
      <c r="G167" s="5">
        <v>293.17</v>
      </c>
      <c r="H167">
        <v>3</v>
      </c>
      <c r="I167">
        <v>0.2</v>
      </c>
      <c r="J167" s="5">
        <v>-32.770000000000003</v>
      </c>
      <c r="K167" s="9">
        <f>Table1[[#This Row],[Profit]]/Table1[[#This Row],[Sales]]%</f>
        <v>-11.177814919671182</v>
      </c>
    </row>
    <row r="168" spans="1:11" x14ac:dyDescent="0.2">
      <c r="A168" t="s">
        <v>176</v>
      </c>
      <c r="B168" s="7">
        <v>45262</v>
      </c>
      <c r="C168" t="s">
        <v>210</v>
      </c>
      <c r="D168" t="s">
        <v>214</v>
      </c>
      <c r="E168" t="s">
        <v>217</v>
      </c>
      <c r="F168" t="s">
        <v>226</v>
      </c>
      <c r="G168" s="5">
        <v>490.76</v>
      </c>
      <c r="H168">
        <v>10</v>
      </c>
      <c r="I168">
        <v>0.2</v>
      </c>
      <c r="J168" s="5">
        <v>-18.54</v>
      </c>
      <c r="K168" s="9">
        <f>Table1[[#This Row],[Profit]]/Table1[[#This Row],[Sales]]%</f>
        <v>-3.7778140027712124</v>
      </c>
    </row>
    <row r="169" spans="1:11" x14ac:dyDescent="0.2">
      <c r="A169" t="s">
        <v>177</v>
      </c>
      <c r="B169" s="7">
        <v>45216</v>
      </c>
      <c r="C169" t="s">
        <v>212</v>
      </c>
      <c r="D169" t="s">
        <v>215</v>
      </c>
      <c r="E169" t="s">
        <v>218</v>
      </c>
      <c r="F169" t="s">
        <v>227</v>
      </c>
      <c r="G169" s="5">
        <v>467.77</v>
      </c>
      <c r="H169">
        <v>8</v>
      </c>
      <c r="I169">
        <v>0.15</v>
      </c>
      <c r="J169" s="5">
        <v>27.06</v>
      </c>
      <c r="K169" s="9">
        <f>Table1[[#This Row],[Profit]]/Table1[[#This Row],[Sales]]%</f>
        <v>5.7848942856532055</v>
      </c>
    </row>
    <row r="170" spans="1:11" x14ac:dyDescent="0.2">
      <c r="A170" t="s">
        <v>178</v>
      </c>
      <c r="B170" s="7">
        <v>45067</v>
      </c>
      <c r="C170" t="s">
        <v>210</v>
      </c>
      <c r="D170" t="s">
        <v>216</v>
      </c>
      <c r="E170" t="s">
        <v>224</v>
      </c>
      <c r="F170" t="s">
        <v>227</v>
      </c>
      <c r="G170" s="5">
        <v>344.89</v>
      </c>
      <c r="H170">
        <v>8</v>
      </c>
      <c r="I170">
        <v>0</v>
      </c>
      <c r="J170" s="5">
        <v>22.15</v>
      </c>
      <c r="K170" s="9">
        <f>Table1[[#This Row],[Profit]]/Table1[[#This Row],[Sales]]%</f>
        <v>6.4223375569022005</v>
      </c>
    </row>
    <row r="171" spans="1:11" x14ac:dyDescent="0.2">
      <c r="A171" t="s">
        <v>179</v>
      </c>
      <c r="B171" s="7">
        <v>45073</v>
      </c>
      <c r="C171" t="s">
        <v>210</v>
      </c>
      <c r="D171" t="s">
        <v>215</v>
      </c>
      <c r="E171" t="s">
        <v>221</v>
      </c>
      <c r="F171" t="s">
        <v>228</v>
      </c>
      <c r="G171" s="5">
        <v>614.38</v>
      </c>
      <c r="H171">
        <v>7</v>
      </c>
      <c r="I171">
        <v>0.15</v>
      </c>
      <c r="J171" s="5">
        <v>27.7</v>
      </c>
      <c r="K171" s="9">
        <f>Table1[[#This Row],[Profit]]/Table1[[#This Row],[Sales]]%</f>
        <v>4.5086103063250755</v>
      </c>
    </row>
    <row r="172" spans="1:11" x14ac:dyDescent="0.2">
      <c r="A172" t="s">
        <v>180</v>
      </c>
      <c r="B172" s="7">
        <v>44948</v>
      </c>
      <c r="C172" t="s">
        <v>213</v>
      </c>
      <c r="D172" t="s">
        <v>215</v>
      </c>
      <c r="E172" t="s">
        <v>219</v>
      </c>
      <c r="F172" t="s">
        <v>227</v>
      </c>
      <c r="G172" s="5">
        <v>355.45</v>
      </c>
      <c r="H172">
        <v>8</v>
      </c>
      <c r="I172">
        <v>0.2</v>
      </c>
      <c r="J172" s="5">
        <v>-39.909999999999997</v>
      </c>
      <c r="K172" s="9">
        <f>Table1[[#This Row],[Profit]]/Table1[[#This Row],[Sales]]%</f>
        <v>-11.228020818680545</v>
      </c>
    </row>
    <row r="173" spans="1:11" x14ac:dyDescent="0.2">
      <c r="A173" t="s">
        <v>181</v>
      </c>
      <c r="B173" s="7">
        <v>44958</v>
      </c>
      <c r="C173" t="s">
        <v>213</v>
      </c>
      <c r="D173" t="s">
        <v>214</v>
      </c>
      <c r="E173" t="s">
        <v>222</v>
      </c>
      <c r="F173" t="s">
        <v>228</v>
      </c>
      <c r="G173" s="5">
        <v>130.11000000000001</v>
      </c>
      <c r="H173">
        <v>3</v>
      </c>
      <c r="I173">
        <v>0</v>
      </c>
      <c r="J173" s="5">
        <v>14.56</v>
      </c>
      <c r="K173" s="9">
        <f>Table1[[#This Row],[Profit]]/Table1[[#This Row],[Sales]]%</f>
        <v>11.190531089078471</v>
      </c>
    </row>
    <row r="174" spans="1:11" x14ac:dyDescent="0.2">
      <c r="A174" t="s">
        <v>182</v>
      </c>
      <c r="B174" s="7">
        <v>45151</v>
      </c>
      <c r="C174" t="s">
        <v>213</v>
      </c>
      <c r="D174" t="s">
        <v>215</v>
      </c>
      <c r="E174" t="s">
        <v>219</v>
      </c>
      <c r="F174" t="s">
        <v>228</v>
      </c>
      <c r="G174" s="5">
        <v>200.81</v>
      </c>
      <c r="H174">
        <v>6</v>
      </c>
      <c r="I174">
        <v>0.1</v>
      </c>
      <c r="J174" s="5">
        <v>9.41</v>
      </c>
      <c r="K174" s="9">
        <f>Table1[[#This Row],[Profit]]/Table1[[#This Row],[Sales]]%</f>
        <v>4.6860216124694984</v>
      </c>
    </row>
    <row r="175" spans="1:11" x14ac:dyDescent="0.2">
      <c r="A175" t="s">
        <v>183</v>
      </c>
      <c r="B175" s="7">
        <v>45100</v>
      </c>
      <c r="C175" t="s">
        <v>210</v>
      </c>
      <c r="D175" t="s">
        <v>215</v>
      </c>
      <c r="E175" t="s">
        <v>219</v>
      </c>
      <c r="F175" t="s">
        <v>226</v>
      </c>
      <c r="G175" s="5">
        <v>112.62</v>
      </c>
      <c r="H175">
        <v>2</v>
      </c>
      <c r="I175">
        <v>0.2</v>
      </c>
      <c r="J175" s="5">
        <v>2.21</v>
      </c>
      <c r="K175" s="9">
        <f>Table1[[#This Row],[Profit]]/Table1[[#This Row],[Sales]]%</f>
        <v>1.9623512697567038</v>
      </c>
    </row>
    <row r="176" spans="1:11" x14ac:dyDescent="0.2">
      <c r="A176" t="s">
        <v>184</v>
      </c>
      <c r="B176" s="7">
        <v>45072</v>
      </c>
      <c r="C176" t="s">
        <v>212</v>
      </c>
      <c r="D176" t="s">
        <v>215</v>
      </c>
      <c r="E176" t="s">
        <v>219</v>
      </c>
      <c r="F176" t="s">
        <v>228</v>
      </c>
      <c r="G176" s="5">
        <v>879.62</v>
      </c>
      <c r="H176">
        <v>6</v>
      </c>
      <c r="I176">
        <v>0</v>
      </c>
      <c r="J176" s="5">
        <v>172.13</v>
      </c>
      <c r="K176" s="9">
        <f>Table1[[#This Row],[Profit]]/Table1[[#This Row],[Sales]]%</f>
        <v>19.568677383415565</v>
      </c>
    </row>
    <row r="177" spans="1:11" x14ac:dyDescent="0.2">
      <c r="A177" t="s">
        <v>185</v>
      </c>
      <c r="B177" s="7">
        <v>44999</v>
      </c>
      <c r="C177" t="s">
        <v>212</v>
      </c>
      <c r="D177" t="s">
        <v>216</v>
      </c>
      <c r="E177" t="s">
        <v>224</v>
      </c>
      <c r="F177" t="s">
        <v>228</v>
      </c>
      <c r="G177" s="5">
        <v>679.03</v>
      </c>
      <c r="H177">
        <v>3</v>
      </c>
      <c r="I177">
        <v>0.2</v>
      </c>
      <c r="J177" s="5">
        <v>18.48</v>
      </c>
      <c r="K177" s="9">
        <f>Table1[[#This Row],[Profit]]/Table1[[#This Row],[Sales]]%</f>
        <v>2.7215292402397542</v>
      </c>
    </row>
    <row r="178" spans="1:11" x14ac:dyDescent="0.2">
      <c r="A178" t="s">
        <v>186</v>
      </c>
      <c r="B178" s="7">
        <v>44970</v>
      </c>
      <c r="C178" t="s">
        <v>212</v>
      </c>
      <c r="D178" t="s">
        <v>215</v>
      </c>
      <c r="E178" t="s">
        <v>218</v>
      </c>
      <c r="F178" t="s">
        <v>228</v>
      </c>
      <c r="G178" s="5">
        <v>802.08</v>
      </c>
      <c r="H178">
        <v>3</v>
      </c>
      <c r="I178">
        <v>0.2</v>
      </c>
      <c r="J178" s="5">
        <v>-101.57</v>
      </c>
      <c r="K178" s="9">
        <f>Table1[[#This Row],[Profit]]/Table1[[#This Row],[Sales]]%</f>
        <v>-12.66332535407939</v>
      </c>
    </row>
    <row r="179" spans="1:11" x14ac:dyDescent="0.2">
      <c r="A179" t="s">
        <v>187</v>
      </c>
      <c r="B179" s="7">
        <v>45270</v>
      </c>
      <c r="C179" t="s">
        <v>213</v>
      </c>
      <c r="D179" t="s">
        <v>215</v>
      </c>
      <c r="E179" t="s">
        <v>218</v>
      </c>
      <c r="F179" t="s">
        <v>227</v>
      </c>
      <c r="G179" s="5">
        <v>394.47</v>
      </c>
      <c r="H179">
        <v>3</v>
      </c>
      <c r="I179">
        <v>0.05</v>
      </c>
      <c r="J179" s="5">
        <v>33.700000000000003</v>
      </c>
      <c r="K179" s="9">
        <f>Table1[[#This Row],[Profit]]/Table1[[#This Row],[Sales]]%</f>
        <v>8.5431084746622048</v>
      </c>
    </row>
    <row r="180" spans="1:11" x14ac:dyDescent="0.2">
      <c r="A180" t="s">
        <v>188</v>
      </c>
      <c r="B180" s="7">
        <v>45175</v>
      </c>
      <c r="C180" t="s">
        <v>211</v>
      </c>
      <c r="D180" t="s">
        <v>214</v>
      </c>
      <c r="E180" t="s">
        <v>223</v>
      </c>
      <c r="F180" t="s">
        <v>227</v>
      </c>
      <c r="G180" s="5">
        <v>123.31</v>
      </c>
      <c r="H180">
        <v>2</v>
      </c>
      <c r="I180">
        <v>0.2</v>
      </c>
      <c r="J180" s="5">
        <v>5.27</v>
      </c>
      <c r="K180" s="9">
        <f>Table1[[#This Row],[Profit]]/Table1[[#This Row],[Sales]]%</f>
        <v>4.2737815262346928</v>
      </c>
    </row>
    <row r="181" spans="1:11" x14ac:dyDescent="0.2">
      <c r="A181" t="s">
        <v>189</v>
      </c>
      <c r="B181" s="7">
        <v>45196</v>
      </c>
      <c r="C181" t="s">
        <v>210</v>
      </c>
      <c r="D181" t="s">
        <v>215</v>
      </c>
      <c r="E181" t="s">
        <v>218</v>
      </c>
      <c r="F181" t="s">
        <v>228</v>
      </c>
      <c r="G181" s="5">
        <v>174.5</v>
      </c>
      <c r="H181">
        <v>7</v>
      </c>
      <c r="I181">
        <v>0.05</v>
      </c>
      <c r="J181" s="5">
        <v>7.08</v>
      </c>
      <c r="K181" s="9">
        <f>Table1[[#This Row],[Profit]]/Table1[[#This Row],[Sales]]%</f>
        <v>4.0573065902578795</v>
      </c>
    </row>
    <row r="182" spans="1:11" x14ac:dyDescent="0.2">
      <c r="A182" t="s">
        <v>190</v>
      </c>
      <c r="B182" s="7">
        <v>45281</v>
      </c>
      <c r="C182" t="s">
        <v>211</v>
      </c>
      <c r="D182" t="s">
        <v>215</v>
      </c>
      <c r="E182" t="s">
        <v>218</v>
      </c>
      <c r="F182" t="s">
        <v>227</v>
      </c>
      <c r="G182" s="5">
        <v>440.32</v>
      </c>
      <c r="H182">
        <v>4</v>
      </c>
      <c r="I182">
        <v>0.15</v>
      </c>
      <c r="J182" s="5">
        <v>23.18</v>
      </c>
      <c r="K182" s="9">
        <f>Table1[[#This Row],[Profit]]/Table1[[#This Row],[Sales]]%</f>
        <v>5.2643531976744189</v>
      </c>
    </row>
    <row r="183" spans="1:11" x14ac:dyDescent="0.2">
      <c r="A183" t="s">
        <v>191</v>
      </c>
      <c r="B183" s="7">
        <v>45156</v>
      </c>
      <c r="C183" t="s">
        <v>211</v>
      </c>
      <c r="D183" t="s">
        <v>215</v>
      </c>
      <c r="E183" t="s">
        <v>221</v>
      </c>
      <c r="F183" t="s">
        <v>226</v>
      </c>
      <c r="G183" s="5">
        <v>967.32</v>
      </c>
      <c r="H183">
        <v>8</v>
      </c>
      <c r="I183">
        <v>0.05</v>
      </c>
      <c r="J183" s="5">
        <v>88.95</v>
      </c>
      <c r="K183" s="9">
        <f>Table1[[#This Row],[Profit]]/Table1[[#This Row],[Sales]]%</f>
        <v>9.195509242029523</v>
      </c>
    </row>
    <row r="184" spans="1:11" x14ac:dyDescent="0.2">
      <c r="A184" t="s">
        <v>192</v>
      </c>
      <c r="B184" s="7">
        <v>45219</v>
      </c>
      <c r="C184" t="s">
        <v>213</v>
      </c>
      <c r="D184" t="s">
        <v>216</v>
      </c>
      <c r="E184" t="s">
        <v>220</v>
      </c>
      <c r="F184" t="s">
        <v>226</v>
      </c>
      <c r="G184" s="5">
        <v>527.76</v>
      </c>
      <c r="H184">
        <v>7</v>
      </c>
      <c r="I184">
        <v>0.05</v>
      </c>
      <c r="J184" s="5">
        <v>107.78</v>
      </c>
      <c r="K184" s="9">
        <f>Table1[[#This Row],[Profit]]/Table1[[#This Row],[Sales]]%</f>
        <v>20.422161588600879</v>
      </c>
    </row>
    <row r="185" spans="1:11" x14ac:dyDescent="0.2">
      <c r="A185" t="s">
        <v>193</v>
      </c>
      <c r="B185" s="7">
        <v>45236</v>
      </c>
      <c r="C185" t="s">
        <v>211</v>
      </c>
      <c r="D185" t="s">
        <v>216</v>
      </c>
      <c r="E185" t="s">
        <v>225</v>
      </c>
      <c r="F185" t="s">
        <v>228</v>
      </c>
      <c r="G185" s="5">
        <v>506.56</v>
      </c>
      <c r="H185">
        <v>6</v>
      </c>
      <c r="I185">
        <v>0.2</v>
      </c>
      <c r="J185" s="5">
        <v>42.33</v>
      </c>
      <c r="K185" s="9">
        <f>Table1[[#This Row],[Profit]]/Table1[[#This Row],[Sales]]%</f>
        <v>8.3563644977890075</v>
      </c>
    </row>
    <row r="186" spans="1:11" x14ac:dyDescent="0.2">
      <c r="A186" t="s">
        <v>194</v>
      </c>
      <c r="B186" s="7">
        <v>45291</v>
      </c>
      <c r="C186" t="s">
        <v>210</v>
      </c>
      <c r="D186" t="s">
        <v>216</v>
      </c>
      <c r="E186" t="s">
        <v>225</v>
      </c>
      <c r="F186" t="s">
        <v>227</v>
      </c>
      <c r="G186" s="5">
        <v>309.14999999999998</v>
      </c>
      <c r="H186">
        <v>9</v>
      </c>
      <c r="I186">
        <v>0.05</v>
      </c>
      <c r="J186" s="5">
        <v>64.23</v>
      </c>
      <c r="K186" s="9">
        <f>Table1[[#This Row],[Profit]]/Table1[[#This Row],[Sales]]%</f>
        <v>20.776322173702088</v>
      </c>
    </row>
    <row r="187" spans="1:11" x14ac:dyDescent="0.2">
      <c r="A187" t="s">
        <v>195</v>
      </c>
      <c r="B187" s="7">
        <v>44973</v>
      </c>
      <c r="C187" t="s">
        <v>211</v>
      </c>
      <c r="D187" t="s">
        <v>216</v>
      </c>
      <c r="E187" t="s">
        <v>220</v>
      </c>
      <c r="F187" t="s">
        <v>227</v>
      </c>
      <c r="G187" s="5">
        <v>444.15</v>
      </c>
      <c r="H187">
        <v>7</v>
      </c>
      <c r="I187">
        <v>0.2</v>
      </c>
      <c r="J187" s="5">
        <v>-25.1</v>
      </c>
      <c r="K187" s="9">
        <f>Table1[[#This Row],[Profit]]/Table1[[#This Row],[Sales]]%</f>
        <v>-5.6512439491162905</v>
      </c>
    </row>
    <row r="188" spans="1:11" x14ac:dyDescent="0.2">
      <c r="A188" t="s">
        <v>196</v>
      </c>
      <c r="B188" s="7">
        <v>45124</v>
      </c>
      <c r="C188" t="s">
        <v>210</v>
      </c>
      <c r="D188" t="s">
        <v>216</v>
      </c>
      <c r="E188" t="s">
        <v>225</v>
      </c>
      <c r="F188" t="s">
        <v>227</v>
      </c>
      <c r="G188" s="5">
        <v>352.75</v>
      </c>
      <c r="H188">
        <v>2</v>
      </c>
      <c r="I188">
        <v>0.1</v>
      </c>
      <c r="J188" s="5">
        <v>52.15</v>
      </c>
      <c r="K188" s="9">
        <f>Table1[[#This Row],[Profit]]/Table1[[#This Row],[Sales]]%</f>
        <v>14.783841247342311</v>
      </c>
    </row>
    <row r="189" spans="1:11" x14ac:dyDescent="0.2">
      <c r="A189" t="s">
        <v>197</v>
      </c>
      <c r="B189" s="7">
        <v>44997</v>
      </c>
      <c r="C189" t="s">
        <v>210</v>
      </c>
      <c r="D189" t="s">
        <v>216</v>
      </c>
      <c r="E189" t="s">
        <v>220</v>
      </c>
      <c r="F189" t="s">
        <v>228</v>
      </c>
      <c r="G189" s="5">
        <v>839.55</v>
      </c>
      <c r="H189">
        <v>8</v>
      </c>
      <c r="I189">
        <v>0.15</v>
      </c>
      <c r="J189" s="5">
        <v>45.2</v>
      </c>
      <c r="K189" s="9">
        <f>Table1[[#This Row],[Profit]]/Table1[[#This Row],[Sales]]%</f>
        <v>5.3838365791197669</v>
      </c>
    </row>
    <row r="190" spans="1:11" x14ac:dyDescent="0.2">
      <c r="A190" t="s">
        <v>198</v>
      </c>
      <c r="B190" s="7">
        <v>44967</v>
      </c>
      <c r="C190" t="s">
        <v>210</v>
      </c>
      <c r="D190" t="s">
        <v>216</v>
      </c>
      <c r="E190" t="s">
        <v>225</v>
      </c>
      <c r="F190" t="s">
        <v>227</v>
      </c>
      <c r="G190" s="5">
        <v>571.36</v>
      </c>
      <c r="H190">
        <v>10</v>
      </c>
      <c r="I190">
        <v>0.2</v>
      </c>
      <c r="J190" s="5">
        <v>-25.25</v>
      </c>
      <c r="K190" s="9">
        <f>Table1[[#This Row],[Profit]]/Table1[[#This Row],[Sales]]%</f>
        <v>-4.4192803136376364</v>
      </c>
    </row>
    <row r="191" spans="1:11" x14ac:dyDescent="0.2">
      <c r="A191" t="s">
        <v>199</v>
      </c>
      <c r="B191" s="7">
        <v>45074</v>
      </c>
      <c r="C191" t="s">
        <v>211</v>
      </c>
      <c r="D191" t="s">
        <v>216</v>
      </c>
      <c r="E191" t="s">
        <v>225</v>
      </c>
      <c r="F191" t="s">
        <v>227</v>
      </c>
      <c r="G191" s="5">
        <v>276.52</v>
      </c>
      <c r="H191">
        <v>10</v>
      </c>
      <c r="I191">
        <v>0.15</v>
      </c>
      <c r="J191" s="5">
        <v>-23.31</v>
      </c>
      <c r="K191" s="9">
        <f>Table1[[#This Row],[Profit]]/Table1[[#This Row],[Sales]]%</f>
        <v>-8.42976999855345</v>
      </c>
    </row>
    <row r="192" spans="1:11" x14ac:dyDescent="0.2">
      <c r="A192" t="s">
        <v>200</v>
      </c>
      <c r="B192" s="7">
        <v>45182</v>
      </c>
      <c r="C192" t="s">
        <v>210</v>
      </c>
      <c r="D192" t="s">
        <v>215</v>
      </c>
      <c r="E192" t="s">
        <v>219</v>
      </c>
      <c r="F192" t="s">
        <v>228</v>
      </c>
      <c r="G192" s="5">
        <v>279.83999999999997</v>
      </c>
      <c r="H192">
        <v>3</v>
      </c>
      <c r="I192">
        <v>0.1</v>
      </c>
      <c r="J192" s="5">
        <v>16.04</v>
      </c>
      <c r="K192" s="9">
        <f>Table1[[#This Row],[Profit]]/Table1[[#This Row],[Sales]]%</f>
        <v>5.731846769582619</v>
      </c>
    </row>
    <row r="193" spans="1:11" x14ac:dyDescent="0.2">
      <c r="A193" t="s">
        <v>201</v>
      </c>
      <c r="B193" s="7">
        <v>45241</v>
      </c>
      <c r="C193" t="s">
        <v>212</v>
      </c>
      <c r="D193" t="s">
        <v>214</v>
      </c>
      <c r="E193" t="s">
        <v>217</v>
      </c>
      <c r="F193" t="s">
        <v>226</v>
      </c>
      <c r="G193" s="5">
        <v>227.95</v>
      </c>
      <c r="H193">
        <v>2</v>
      </c>
      <c r="I193">
        <v>0.2</v>
      </c>
      <c r="J193" s="5">
        <v>21.35</v>
      </c>
      <c r="K193" s="9">
        <f>Table1[[#This Row],[Profit]]/Table1[[#This Row],[Sales]]%</f>
        <v>9.3660890546172411</v>
      </c>
    </row>
    <row r="194" spans="1:11" x14ac:dyDescent="0.2">
      <c r="A194" t="s">
        <v>202</v>
      </c>
      <c r="B194" s="7">
        <v>44961</v>
      </c>
      <c r="C194" t="s">
        <v>210</v>
      </c>
      <c r="D194" t="s">
        <v>216</v>
      </c>
      <c r="E194" t="s">
        <v>220</v>
      </c>
      <c r="F194" t="s">
        <v>227</v>
      </c>
      <c r="G194" s="5">
        <v>653.89</v>
      </c>
      <c r="H194">
        <v>6</v>
      </c>
      <c r="I194">
        <v>0.1</v>
      </c>
      <c r="J194" s="5">
        <v>89.47</v>
      </c>
      <c r="K194" s="9">
        <f>Table1[[#This Row],[Profit]]/Table1[[#This Row],[Sales]]%</f>
        <v>13.682729511079845</v>
      </c>
    </row>
    <row r="195" spans="1:11" x14ac:dyDescent="0.2">
      <c r="A195" t="s">
        <v>203</v>
      </c>
      <c r="B195" s="7">
        <v>45109</v>
      </c>
      <c r="C195" t="s">
        <v>210</v>
      </c>
      <c r="D195" t="s">
        <v>216</v>
      </c>
      <c r="E195" t="s">
        <v>225</v>
      </c>
      <c r="F195" t="s">
        <v>228</v>
      </c>
      <c r="G195" s="5">
        <v>674.25</v>
      </c>
      <c r="H195">
        <v>2</v>
      </c>
      <c r="I195">
        <v>0.2</v>
      </c>
      <c r="J195" s="5">
        <v>22.79</v>
      </c>
      <c r="K195" s="9">
        <f>Table1[[#This Row],[Profit]]/Table1[[#This Row],[Sales]]%</f>
        <v>3.3800519095291066</v>
      </c>
    </row>
    <row r="196" spans="1:11" x14ac:dyDescent="0.2">
      <c r="A196" t="s">
        <v>204</v>
      </c>
      <c r="B196" s="7">
        <v>45097</v>
      </c>
      <c r="C196" t="s">
        <v>211</v>
      </c>
      <c r="D196" t="s">
        <v>214</v>
      </c>
      <c r="E196" t="s">
        <v>222</v>
      </c>
      <c r="F196" t="s">
        <v>228</v>
      </c>
      <c r="G196" s="5">
        <v>371.62</v>
      </c>
      <c r="H196">
        <v>3</v>
      </c>
      <c r="I196">
        <v>0.15</v>
      </c>
      <c r="J196" s="5">
        <v>53.96</v>
      </c>
      <c r="K196" s="9">
        <f>Table1[[#This Row],[Profit]]/Table1[[#This Row],[Sales]]%</f>
        <v>14.520208815456648</v>
      </c>
    </row>
    <row r="197" spans="1:11" x14ac:dyDescent="0.2">
      <c r="A197" t="s">
        <v>205</v>
      </c>
      <c r="B197" s="7">
        <v>45172</v>
      </c>
      <c r="C197" t="s">
        <v>211</v>
      </c>
      <c r="D197" t="s">
        <v>214</v>
      </c>
      <c r="E197" t="s">
        <v>223</v>
      </c>
      <c r="F197" t="s">
        <v>228</v>
      </c>
      <c r="G197" s="5">
        <v>787.38</v>
      </c>
      <c r="H197">
        <v>8</v>
      </c>
      <c r="I197">
        <v>0</v>
      </c>
      <c r="J197" s="5">
        <v>97.13</v>
      </c>
      <c r="K197" s="9">
        <f>Table1[[#This Row],[Profit]]/Table1[[#This Row],[Sales]]%</f>
        <v>12.335848002235261</v>
      </c>
    </row>
    <row r="198" spans="1:11" x14ac:dyDescent="0.2">
      <c r="A198" t="s">
        <v>206</v>
      </c>
      <c r="B198" s="7">
        <v>44949</v>
      </c>
      <c r="C198" t="s">
        <v>211</v>
      </c>
      <c r="D198" t="s">
        <v>214</v>
      </c>
      <c r="E198" t="s">
        <v>222</v>
      </c>
      <c r="F198" t="s">
        <v>226</v>
      </c>
      <c r="G198" s="5">
        <v>539.61</v>
      </c>
      <c r="H198">
        <v>9</v>
      </c>
      <c r="I198">
        <v>0.15</v>
      </c>
      <c r="J198" s="5">
        <v>-19.79</v>
      </c>
      <c r="K198" s="9">
        <f>Table1[[#This Row],[Profit]]/Table1[[#This Row],[Sales]]%</f>
        <v>-3.6674635384814955</v>
      </c>
    </row>
    <row r="199" spans="1:11" x14ac:dyDescent="0.2">
      <c r="A199" t="s">
        <v>207</v>
      </c>
      <c r="B199" s="7">
        <v>45258</v>
      </c>
      <c r="C199" t="s">
        <v>211</v>
      </c>
      <c r="D199" t="s">
        <v>216</v>
      </c>
      <c r="E199" t="s">
        <v>220</v>
      </c>
      <c r="F199" t="s">
        <v>227</v>
      </c>
      <c r="G199" s="5">
        <v>872.51</v>
      </c>
      <c r="H199">
        <v>6</v>
      </c>
      <c r="I199">
        <v>0.1</v>
      </c>
      <c r="J199" s="5">
        <v>-16.47</v>
      </c>
      <c r="K199" s="9">
        <f>Table1[[#This Row],[Profit]]/Table1[[#This Row],[Sales]]%</f>
        <v>-1.8876574480521713</v>
      </c>
    </row>
    <row r="200" spans="1:11" x14ac:dyDescent="0.2">
      <c r="A200" t="s">
        <v>208</v>
      </c>
      <c r="B200" s="7">
        <v>45115</v>
      </c>
      <c r="C200" t="s">
        <v>213</v>
      </c>
      <c r="D200" t="s">
        <v>216</v>
      </c>
      <c r="E200" t="s">
        <v>224</v>
      </c>
      <c r="F200" t="s">
        <v>226</v>
      </c>
      <c r="G200" s="5">
        <v>899.91</v>
      </c>
      <c r="H200">
        <v>7</v>
      </c>
      <c r="I200">
        <v>0.1</v>
      </c>
      <c r="J200" s="5">
        <v>174.07</v>
      </c>
      <c r="K200" s="9">
        <f>Table1[[#This Row],[Profit]]/Table1[[#This Row],[Sales]]%</f>
        <v>19.343045415652675</v>
      </c>
    </row>
    <row r="201" spans="1:11" x14ac:dyDescent="0.2">
      <c r="A201" t="s">
        <v>209</v>
      </c>
      <c r="B201" s="7">
        <v>45181</v>
      </c>
      <c r="C201" t="s">
        <v>213</v>
      </c>
      <c r="D201" t="s">
        <v>216</v>
      </c>
      <c r="E201" t="s">
        <v>224</v>
      </c>
      <c r="F201" t="s">
        <v>226</v>
      </c>
      <c r="G201" s="5">
        <v>811.09</v>
      </c>
      <c r="H201">
        <v>7</v>
      </c>
      <c r="I201">
        <v>0</v>
      </c>
      <c r="J201" s="5">
        <v>127.87</v>
      </c>
      <c r="K201" s="9">
        <f>Table1[[#This Row],[Profit]]/Table1[[#This Row],[Sales]]%</f>
        <v>15.765204847797408</v>
      </c>
    </row>
  </sheetData>
  <sheetProtection algorithmName="SHA-512" hashValue="VAWlYjtZ8mP34rM5tmBdnK+k391gEQQJHZGkI0XyEahpcffz+4dNEHZDn/+jJkyk7i8Z+3IhCpByQw3TK/tRPw==" saltValue="7WDkX/BHlDrrh7ac1Qa2OQ==" spinCount="100000" sheet="1" objects="1" scenarios="1"/>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359F1-0F7E-E64C-8755-25D2A8EEF8C6}">
  <dimension ref="A1:T43"/>
  <sheetViews>
    <sheetView tabSelected="1" zoomScaleNormal="100" workbookViewId="0">
      <selection activeCell="U7" sqref="U7"/>
    </sheetView>
  </sheetViews>
  <sheetFormatPr baseColWidth="10" defaultRowHeight="15" x14ac:dyDescent="0.2"/>
  <cols>
    <col min="4" max="4" width="14.1640625" bestFit="1" customWidth="1"/>
    <col min="15" max="15" width="16.33203125" bestFit="1" customWidth="1"/>
    <col min="19" max="19" width="10.83203125" customWidth="1"/>
  </cols>
  <sheetData>
    <row r="1" spans="3:20" ht="15" customHeight="1" x14ac:dyDescent="0.2">
      <c r="C1" s="25" t="s">
        <v>252</v>
      </c>
      <c r="D1" s="26"/>
      <c r="E1" s="26"/>
      <c r="F1" s="26"/>
      <c r="G1" s="26"/>
      <c r="H1" s="26"/>
      <c r="I1" s="26"/>
      <c r="J1" s="26"/>
      <c r="K1" s="26"/>
      <c r="L1" s="26"/>
      <c r="M1" s="26"/>
      <c r="N1" s="26"/>
      <c r="O1" s="29">
        <f xml:space="preserve"> 'Pivot Tables'!B12</f>
        <v>6485.42</v>
      </c>
      <c r="P1" s="30"/>
      <c r="Q1" s="30"/>
      <c r="R1" s="30"/>
      <c r="S1" s="30"/>
      <c r="T1" s="31"/>
    </row>
    <row r="2" spans="3:20" ht="15" customHeight="1" x14ac:dyDescent="0.2">
      <c r="C2" s="27"/>
      <c r="D2" s="28"/>
      <c r="E2" s="28"/>
      <c r="F2" s="28"/>
      <c r="G2" s="28"/>
      <c r="H2" s="28"/>
      <c r="I2" s="28"/>
      <c r="J2" s="28"/>
      <c r="K2" s="28"/>
      <c r="L2" s="28"/>
      <c r="M2" s="28"/>
      <c r="N2" s="28"/>
      <c r="O2" s="32">
        <f xml:space="preserve"> 'Pivot Tables'!B13</f>
        <v>101862.25</v>
      </c>
      <c r="P2" s="33"/>
      <c r="Q2" s="33"/>
      <c r="R2" s="33"/>
      <c r="S2" s="33"/>
      <c r="T2" s="34"/>
    </row>
    <row r="3" spans="3:20" ht="15" customHeight="1" x14ac:dyDescent="0.2">
      <c r="C3" s="27"/>
      <c r="D3" s="28"/>
      <c r="E3" s="28"/>
      <c r="F3" s="28"/>
      <c r="G3" s="28"/>
      <c r="H3" s="28"/>
      <c r="I3" s="28"/>
      <c r="J3" s="28"/>
      <c r="K3" s="28"/>
      <c r="L3" s="28"/>
      <c r="M3" s="28"/>
      <c r="N3" s="28"/>
      <c r="O3" s="35">
        <f xml:space="preserve"> (Dashboard!O1/Dashboard!O2)*100</f>
        <v>6.366853274888391</v>
      </c>
      <c r="P3" s="36"/>
      <c r="Q3" s="36"/>
      <c r="R3" s="36"/>
      <c r="S3" s="36"/>
      <c r="T3" s="37"/>
    </row>
    <row r="4" spans="3:20" x14ac:dyDescent="0.2">
      <c r="C4" s="11"/>
      <c r="T4" s="12"/>
    </row>
    <row r="5" spans="3:20" x14ac:dyDescent="0.2">
      <c r="C5" s="11"/>
      <c r="T5" s="12"/>
    </row>
    <row r="6" spans="3:20" x14ac:dyDescent="0.2">
      <c r="C6" s="11"/>
      <c r="T6" s="12"/>
    </row>
    <row r="7" spans="3:20" x14ac:dyDescent="0.2">
      <c r="C7" s="11"/>
      <c r="T7" s="12"/>
    </row>
    <row r="8" spans="3:20" x14ac:dyDescent="0.2">
      <c r="C8" s="11"/>
      <c r="T8" s="12"/>
    </row>
    <row r="9" spans="3:20" x14ac:dyDescent="0.2">
      <c r="C9" s="11"/>
      <c r="T9" s="12"/>
    </row>
    <row r="10" spans="3:20" x14ac:dyDescent="0.2">
      <c r="C10" s="11"/>
      <c r="T10" s="12"/>
    </row>
    <row r="11" spans="3:20" x14ac:dyDescent="0.2">
      <c r="C11" s="11"/>
      <c r="T11" s="12"/>
    </row>
    <row r="12" spans="3:20" x14ac:dyDescent="0.2">
      <c r="C12" s="11"/>
      <c r="T12" s="12"/>
    </row>
    <row r="13" spans="3:20" x14ac:dyDescent="0.2">
      <c r="C13" s="11"/>
      <c r="T13" s="12"/>
    </row>
    <row r="14" spans="3:20" x14ac:dyDescent="0.2">
      <c r="C14" s="11"/>
      <c r="T14" s="12"/>
    </row>
    <row r="15" spans="3:20" x14ac:dyDescent="0.2">
      <c r="C15" s="11"/>
      <c r="T15" s="12"/>
    </row>
    <row r="16" spans="3:20" x14ac:dyDescent="0.2">
      <c r="C16" s="11"/>
      <c r="T16" s="12"/>
    </row>
    <row r="17" spans="3:20" x14ac:dyDescent="0.2">
      <c r="C17" s="11"/>
      <c r="T17" s="12"/>
    </row>
    <row r="18" spans="3:20" x14ac:dyDescent="0.2">
      <c r="C18" s="11"/>
      <c r="T18" s="12"/>
    </row>
    <row r="19" spans="3:20" x14ac:dyDescent="0.2">
      <c r="C19" s="11"/>
      <c r="T19" s="12"/>
    </row>
    <row r="20" spans="3:20" x14ac:dyDescent="0.2">
      <c r="C20" s="11"/>
      <c r="T20" s="12"/>
    </row>
    <row r="21" spans="3:20" x14ac:dyDescent="0.2">
      <c r="C21" s="13"/>
      <c r="D21" s="14"/>
      <c r="E21" s="14"/>
      <c r="F21" s="14"/>
      <c r="G21" s="14"/>
      <c r="H21" s="14"/>
      <c r="I21" s="14"/>
      <c r="J21" s="14"/>
      <c r="K21" s="14"/>
      <c r="L21" s="14"/>
      <c r="M21" s="14"/>
      <c r="N21" s="14"/>
      <c r="O21" s="14"/>
      <c r="P21" s="14"/>
      <c r="Q21" s="14"/>
      <c r="R21" s="14"/>
      <c r="S21" s="14"/>
      <c r="T21" s="15"/>
    </row>
    <row r="22" spans="3:20" x14ac:dyDescent="0.2">
      <c r="C22" s="16" t="s">
        <v>230</v>
      </c>
      <c r="D22" s="2"/>
      <c r="E22" s="2"/>
      <c r="F22" s="2"/>
      <c r="G22" s="2"/>
      <c r="H22" s="2"/>
      <c r="I22" s="10"/>
      <c r="J22" s="16" t="s">
        <v>231</v>
      </c>
      <c r="K22" s="2"/>
      <c r="L22" s="2"/>
      <c r="M22" s="2"/>
      <c r="N22" s="2"/>
      <c r="O22" s="10"/>
      <c r="P22" s="17" t="s">
        <v>236</v>
      </c>
      <c r="T22" s="12"/>
    </row>
    <row r="23" spans="3:20" x14ac:dyDescent="0.2">
      <c r="C23" s="11"/>
      <c r="I23" s="12"/>
      <c r="J23" s="11"/>
      <c r="O23" s="12"/>
      <c r="T23" s="12"/>
    </row>
    <row r="24" spans="3:20" x14ac:dyDescent="0.2">
      <c r="C24" s="11"/>
      <c r="I24" s="12"/>
      <c r="J24" s="11"/>
      <c r="O24" s="12"/>
      <c r="T24" s="12"/>
    </row>
    <row r="25" spans="3:20" x14ac:dyDescent="0.2">
      <c r="C25" s="11"/>
      <c r="I25" s="12"/>
      <c r="J25" s="11"/>
      <c r="O25" s="12"/>
      <c r="T25" s="12"/>
    </row>
    <row r="26" spans="3:20" x14ac:dyDescent="0.2">
      <c r="C26" s="11"/>
      <c r="I26" s="12"/>
      <c r="J26" s="11"/>
      <c r="O26" s="12"/>
      <c r="T26" s="12"/>
    </row>
    <row r="27" spans="3:20" x14ac:dyDescent="0.2">
      <c r="C27" s="11"/>
      <c r="I27" s="12"/>
      <c r="J27" s="11"/>
      <c r="O27" s="12"/>
      <c r="T27" s="12"/>
    </row>
    <row r="28" spans="3:20" x14ac:dyDescent="0.2">
      <c r="C28" s="11"/>
      <c r="I28" s="12"/>
      <c r="J28" s="11"/>
      <c r="O28" s="12"/>
      <c r="T28" s="12"/>
    </row>
    <row r="29" spans="3:20" x14ac:dyDescent="0.2">
      <c r="C29" s="11"/>
      <c r="I29" s="12"/>
      <c r="J29" s="11"/>
      <c r="O29" s="12"/>
      <c r="T29" s="12"/>
    </row>
    <row r="30" spans="3:20" x14ac:dyDescent="0.2">
      <c r="C30" s="11"/>
      <c r="I30" s="12"/>
      <c r="J30" s="11"/>
      <c r="O30" s="12"/>
      <c r="T30" s="12"/>
    </row>
    <row r="31" spans="3:20" x14ac:dyDescent="0.2">
      <c r="C31" s="11"/>
      <c r="I31" s="12"/>
      <c r="J31" s="11"/>
      <c r="O31" s="12"/>
      <c r="T31" s="12"/>
    </row>
    <row r="32" spans="3:20" x14ac:dyDescent="0.2">
      <c r="C32" s="11"/>
      <c r="I32" s="12"/>
      <c r="J32" s="11"/>
      <c r="O32" s="12"/>
      <c r="T32" s="12"/>
    </row>
    <row r="33" spans="1:20" x14ac:dyDescent="0.2">
      <c r="C33" s="11"/>
      <c r="I33" s="12"/>
      <c r="J33" s="11"/>
      <c r="O33" s="12"/>
      <c r="T33" s="12"/>
    </row>
    <row r="34" spans="1:20" x14ac:dyDescent="0.2">
      <c r="C34" s="11"/>
      <c r="I34" s="12"/>
      <c r="J34" s="11"/>
      <c r="O34" s="12"/>
      <c r="T34" s="12"/>
    </row>
    <row r="35" spans="1:20" x14ac:dyDescent="0.2">
      <c r="C35" s="11"/>
      <c r="I35" s="12"/>
      <c r="J35" s="11"/>
      <c r="O35" s="12"/>
      <c r="T35" s="12"/>
    </row>
    <row r="36" spans="1:20" x14ac:dyDescent="0.2">
      <c r="C36" s="11"/>
      <c r="I36" s="12"/>
      <c r="J36" s="11"/>
      <c r="O36" s="12"/>
      <c r="T36" s="12"/>
    </row>
    <row r="37" spans="1:20" x14ac:dyDescent="0.2">
      <c r="C37" s="11"/>
      <c r="I37" s="12"/>
      <c r="J37" s="11"/>
      <c r="O37" s="12"/>
      <c r="T37" s="12"/>
    </row>
    <row r="38" spans="1:20" x14ac:dyDescent="0.2">
      <c r="C38" s="11"/>
      <c r="I38" s="12"/>
      <c r="J38" s="11"/>
      <c r="O38" s="12"/>
      <c r="T38" s="12"/>
    </row>
    <row r="39" spans="1:20" x14ac:dyDescent="0.2">
      <c r="C39" s="11"/>
      <c r="I39" s="12"/>
      <c r="J39" s="11"/>
      <c r="O39" s="12"/>
      <c r="T39" s="12"/>
    </row>
    <row r="40" spans="1:20" x14ac:dyDescent="0.2">
      <c r="C40" s="11"/>
      <c r="I40" s="12"/>
      <c r="J40" s="11"/>
      <c r="O40" s="12"/>
      <c r="T40" s="12"/>
    </row>
    <row r="41" spans="1:20" x14ac:dyDescent="0.2">
      <c r="C41" s="11"/>
      <c r="I41" s="12"/>
      <c r="J41" s="11"/>
      <c r="O41" s="12"/>
      <c r="T41" s="12"/>
    </row>
    <row r="42" spans="1:20" x14ac:dyDescent="0.2">
      <c r="C42" s="11"/>
      <c r="I42" s="12"/>
      <c r="J42" s="11"/>
      <c r="O42" s="12"/>
      <c r="T42" s="12"/>
    </row>
    <row r="43" spans="1:20" x14ac:dyDescent="0.2">
      <c r="A43" s="14"/>
      <c r="B43" s="14"/>
      <c r="C43" s="13"/>
      <c r="D43" s="14"/>
      <c r="E43" s="14"/>
      <c r="F43" s="14"/>
      <c r="G43" s="14"/>
      <c r="H43" s="14"/>
      <c r="I43" s="15"/>
      <c r="J43" s="13"/>
      <c r="K43" s="14"/>
      <c r="L43" s="14"/>
      <c r="M43" s="14"/>
      <c r="N43" s="14"/>
      <c r="O43" s="15"/>
      <c r="P43" s="14"/>
      <c r="Q43" s="14"/>
      <c r="R43" s="14"/>
      <c r="S43" s="14"/>
      <c r="T43" s="15"/>
    </row>
  </sheetData>
  <sheetProtection algorithmName="SHA-512" hashValue="s1lClbM7ANP1MocLPy0wm0ZnNx0Tk1nwY2wdM/v8lp+LxU4oSwOT/ckL9JvkG+cB+dJ8nTRx8mDS2s2PihbgRQ==" saltValue="yrCKtBQPxi3Yblnu1++3Mg==" spinCount="100000" sheet="1" objects="1" scenarios="1"/>
  <mergeCells count="4">
    <mergeCell ref="C1:N3"/>
    <mergeCell ref="O1:T1"/>
    <mergeCell ref="O2:T2"/>
    <mergeCell ref="O3:T3"/>
  </mergeCells>
  <pageMargins left="0.7" right="0.7" top="0.75" bottom="0.75" header="0.3" footer="0.3"/>
  <pageSetup orientation="portrait" horizontalDpi="0" verticalDpi="0"/>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Omondi Fredrick</cp:lastModifiedBy>
  <dcterms:created xsi:type="dcterms:W3CDTF">2026-03-28T16:18:24Z</dcterms:created>
  <dcterms:modified xsi:type="dcterms:W3CDTF">2026-03-29T18:01:19Z</dcterms:modified>
</cp:coreProperties>
</file>